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corp.sharepoint.com/sites/SouthGasGatheringSGG/Shared Documents/General/03 - Compressor Stations/Sor fin fan analysis tool/Original Calculators/"/>
    </mc:Choice>
  </mc:AlternateContent>
  <xr:revisionPtr revIDLastSave="919" documentId="8_{94334CC9-7EF2-4C66-BF7D-B10D652D9A56}" xr6:coauthVersionLast="47" xr6:coauthVersionMax="47" xr10:uidLastSave="{717DA8A5-4339-4FEF-8DDD-96E8B5209965}"/>
  <bookViews>
    <workbookView xWindow="-120" yWindow="-120" windowWidth="29040" windowHeight="17640" activeTab="1" xr2:uid="{686DCF1B-707D-4CC6-A34C-5312097CCA61}"/>
  </bookViews>
  <sheets>
    <sheet name="Cooler Parameter Input" sheetId="1" r:id="rId1"/>
    <sheet name="Constants and Properti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1" i="2" s="1"/>
  <c r="Q3" i="3"/>
  <c r="P3" i="3"/>
  <c r="O3" i="3"/>
  <c r="N3" i="3"/>
  <c r="M3" i="3"/>
  <c r="K3" i="3"/>
  <c r="J3" i="3"/>
  <c r="I3" i="3"/>
  <c r="H3" i="3"/>
  <c r="G3" i="3"/>
  <c r="E3" i="3"/>
  <c r="D3" i="3"/>
  <c r="C3" i="3"/>
  <c r="B3" i="3"/>
  <c r="A3" i="3"/>
  <c r="E21" i="2"/>
  <c r="D21" i="2"/>
  <c r="C2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E4" i="2" l="1"/>
  <c r="H4" i="2"/>
  <c r="C33" i="1" l="1"/>
  <c r="H33" i="1"/>
  <c r="I33" i="1" s="1"/>
  <c r="F40" i="1"/>
  <c r="G40" i="1" s="1"/>
  <c r="B39" i="1"/>
  <c r="C39" i="1" s="1"/>
  <c r="H37" i="1"/>
  <c r="I37" i="1" s="1"/>
  <c r="B40" i="1"/>
  <c r="C40" i="1" s="1"/>
  <c r="B37" i="1"/>
  <c r="C37" i="1" s="1"/>
  <c r="D41" i="1"/>
  <c r="E41" i="1" s="1"/>
  <c r="F37" i="1"/>
  <c r="G37" i="1" s="1"/>
  <c r="H41" i="1"/>
  <c r="I41" i="1" s="1"/>
  <c r="D40" i="1"/>
  <c r="E40" i="1" s="1"/>
  <c r="D37" i="1"/>
  <c r="E37" i="1" s="1"/>
  <c r="F41" i="1"/>
  <c r="G41" i="1" s="1"/>
  <c r="H38" i="1"/>
  <c r="I38" i="1" s="1"/>
  <c r="F38" i="1"/>
  <c r="G38" i="1" s="1"/>
  <c r="H39" i="1"/>
  <c r="I39" i="1" s="1"/>
  <c r="D38" i="1"/>
  <c r="E38" i="1" s="1"/>
  <c r="F39" i="1"/>
  <c r="G39" i="1" s="1"/>
  <c r="B38" i="1"/>
  <c r="C38" i="1" s="1"/>
  <c r="H40" i="1"/>
  <c r="I40" i="1" s="1"/>
  <c r="B41" i="1"/>
  <c r="C41" i="1" s="1"/>
  <c r="D39" i="1"/>
  <c r="E39" i="1" s="1"/>
  <c r="B34" i="1"/>
  <c r="C34" i="1" s="1"/>
  <c r="B35" i="1"/>
  <c r="C35" i="1" s="1"/>
  <c r="B36" i="1"/>
  <c r="C36" i="1" s="1"/>
  <c r="D34" i="1"/>
  <c r="E34" i="1" s="1"/>
  <c r="H42" i="1"/>
  <c r="I42" i="1" s="1"/>
  <c r="B42" i="1"/>
  <c r="C42" i="1" s="1"/>
  <c r="D33" i="1"/>
  <c r="E33" i="1" s="1"/>
  <c r="D36" i="1"/>
  <c r="E36" i="1" s="1"/>
  <c r="F33" i="1"/>
  <c r="G33" i="1" s="1"/>
  <c r="D35" i="1"/>
  <c r="E35" i="1" s="1"/>
  <c r="F36" i="1"/>
  <c r="G36" i="1" s="1"/>
  <c r="F42" i="1"/>
  <c r="G42" i="1" s="1"/>
  <c r="H34" i="1"/>
  <c r="I34" i="1" s="1"/>
  <c r="D42" i="1"/>
  <c r="E42" i="1" s="1"/>
  <c r="H35" i="1"/>
  <c r="I35" i="1" s="1"/>
  <c r="F34" i="1"/>
  <c r="G34" i="1" s="1"/>
  <c r="H36" i="1"/>
  <c r="I36" i="1" s="1"/>
  <c r="F35" i="1"/>
  <c r="G35" i="1" s="1"/>
</calcChain>
</file>

<file path=xl/sharedStrings.xml><?xml version="1.0" encoding="utf-8"?>
<sst xmlns="http://schemas.openxmlformats.org/spreadsheetml/2006/main" count="310" uniqueCount="66">
  <si>
    <t>Cooler #</t>
  </si>
  <si>
    <t>IC-1</t>
  </si>
  <si>
    <t>IC-2</t>
  </si>
  <si>
    <t>IC-3</t>
  </si>
  <si>
    <t>AC</t>
  </si>
  <si>
    <t>T_in</t>
  </si>
  <si>
    <t>T_out</t>
  </si>
  <si>
    <t>Cooler type</t>
  </si>
  <si>
    <t>Nitrogen</t>
  </si>
  <si>
    <t>mole %</t>
  </si>
  <si>
    <t>Cp at ~200 deg F</t>
  </si>
  <si>
    <t>xi*Cp,i</t>
  </si>
  <si>
    <t>Cp,mix [BTU/lb/°F]</t>
  </si>
  <si>
    <t>Molar mass (lb/lb-mol)</t>
  </si>
  <si>
    <t>MM, mix (lb/lb-mol)</t>
  </si>
  <si>
    <t>xi*MM,i</t>
  </si>
  <si>
    <t>Duty</t>
  </si>
  <si>
    <t>Efficiency %</t>
  </si>
  <si>
    <t>AC/IC-4</t>
  </si>
  <si>
    <t>Temperatures (°F)</t>
  </si>
  <si>
    <t>Flows (MMCFD)</t>
  </si>
  <si>
    <t>Inlet Gas Today</t>
  </si>
  <si>
    <t>Total Flow Today</t>
  </si>
  <si>
    <t>Component</t>
  </si>
  <si>
    <t>Methane</t>
  </si>
  <si>
    <t>Carbon Dioxde</t>
  </si>
  <si>
    <t>Ethane</t>
  </si>
  <si>
    <t>Propane</t>
  </si>
  <si>
    <t>n-Hexane</t>
  </si>
  <si>
    <t>i-Butane</t>
  </si>
  <si>
    <t>n-Butane</t>
  </si>
  <si>
    <t>i-Pentane</t>
  </si>
  <si>
    <t>n-Pentane</t>
  </si>
  <si>
    <t>n-Heptane</t>
  </si>
  <si>
    <t>n-Octane</t>
  </si>
  <si>
    <t>n-Nonane</t>
  </si>
  <si>
    <t>n-Decane</t>
  </si>
  <si>
    <t>Gas Properties to Cooler</t>
  </si>
  <si>
    <t>Actual Duty (1000 BTU/hr)</t>
  </si>
  <si>
    <t>T Setpoint (°F) &amp; Louver Position (%)</t>
  </si>
  <si>
    <t>T Setpoint</t>
  </si>
  <si>
    <t>Louver</t>
  </si>
  <si>
    <t>Actual T</t>
  </si>
  <si>
    <t>Date of Assess</t>
  </si>
  <si>
    <t>BBCS2 Cooler Efficiency Calculator</t>
  </si>
  <si>
    <t>-</t>
  </si>
  <si>
    <t>Relevant Pi Tags</t>
  </si>
  <si>
    <t xml:space="preserve"> |</t>
  </si>
  <si>
    <t xml:space="preserve"> V</t>
  </si>
  <si>
    <t>FIT</t>
  </si>
  <si>
    <t>Constants, Properties, Ratings, Pi Tags</t>
  </si>
  <si>
    <t>156EF-R-112-26</t>
  </si>
  <si>
    <t>Rated Duty (1000 BTU/hr) - Spec Sheet</t>
  </si>
  <si>
    <t>Rated Duty (1000 BTU/hr) - Taken After Cleaning</t>
  </si>
  <si>
    <t>Cooler 1</t>
  </si>
  <si>
    <t>IC-4</t>
  </si>
  <si>
    <t>Cooler 2</t>
  </si>
  <si>
    <t>Cooler 3</t>
  </si>
  <si>
    <t>Cooler 4</t>
  </si>
  <si>
    <t>Cooler 5</t>
  </si>
  <si>
    <t>Cooler 6</t>
  </si>
  <si>
    <t>Cooler 7</t>
  </si>
  <si>
    <t>Cooler 8</t>
  </si>
  <si>
    <t>Cooler 9</t>
  </si>
  <si>
    <t>Cooler 10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</si>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</sst>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35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1654B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3" fillId="5" borderId="0" xfId="0" applyFont="1" applyFill="1"/>
    <xf numFmtId="10" fontId="3" fillId="0" borderId="0" xfId="0" applyNumberFormat="1" applyFont="1"/>
    <xf numFmtId="0" fontId="0" fillId="0" borderId="3" xfId="0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vertical="center"/>
    </xf>
    <xf numFmtId="9" fontId="3" fillId="0" borderId="3" xfId="0" applyNumberFormat="1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0" borderId="4" xfId="0" quotePrefix="1" applyFont="1" applyBorder="1" applyAlignment="1">
      <alignment vertical="center"/>
    </xf>
    <xf numFmtId="10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vertical="center"/>
    </xf>
    <xf numFmtId="10" fontId="3" fillId="0" borderId="8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1" fontId="2" fillId="0" borderId="0" xfId="0" applyNumberFormat="1" applyFont="1" applyAlignment="1">
      <alignment vertical="center"/>
    </xf>
    <xf numFmtId="0" fontId="6" fillId="2" borderId="4" xfId="0" applyFont="1" applyFill="1" applyBorder="1" applyAlignment="1">
      <alignment vertical="center"/>
    </xf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E35A57"/>
      <color rgb="FF51654B"/>
      <color rgb="FF466A54"/>
      <color rgb="FF515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Cooler 1 Duties Over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IC-1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3-4119-85B1-85EB48E68A59}"/>
            </c:ext>
          </c:extLst>
        </c:ser>
        <c:ser>
          <c:idx val="1"/>
          <c:order val="1"/>
          <c:tx>
            <c:v>IC-2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3-4119-85B1-85EB48E68A59}"/>
            </c:ext>
          </c:extLst>
        </c:ser>
        <c:ser>
          <c:idx val="2"/>
          <c:order val="2"/>
          <c:tx>
            <c:v>IC-3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E3-4119-85B1-85EB48E68A59}"/>
            </c:ext>
          </c:extLst>
        </c:ser>
        <c:ser>
          <c:idx val="3"/>
          <c:order val="3"/>
          <c:tx>
            <c:v>IC-4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E3-4119-85B1-85EB48E68A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3936224"/>
        <c:axId val="1453936704"/>
      </c:scatterChart>
      <c:valAx>
        <c:axId val="14539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36704"/>
        <c:crosses val="autoZero"/>
        <c:crossBetween val="midCat"/>
      </c:valAx>
      <c:valAx>
        <c:axId val="14539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  <a:r>
                  <a:rPr lang="en-US" baseline="0"/>
                  <a:t> [1000-BTU/hr]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36224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Cooler 2 Duties Over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IC-1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1-4C67-8C62-6A97CC292861}"/>
            </c:ext>
          </c:extLst>
        </c:ser>
        <c:ser>
          <c:idx val="1"/>
          <c:order val="1"/>
          <c:tx>
            <c:v>IC-2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1-4C67-8C62-6A97CC292861}"/>
            </c:ext>
          </c:extLst>
        </c:ser>
        <c:ser>
          <c:idx val="2"/>
          <c:order val="2"/>
          <c:tx>
            <c:v>IC-3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51-4C67-8C62-6A97CC292861}"/>
            </c:ext>
          </c:extLst>
        </c:ser>
        <c:ser>
          <c:idx val="3"/>
          <c:order val="3"/>
          <c:tx>
            <c:v>IC-4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51-4C67-8C62-6A97CC2928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35286976"/>
        <c:axId val="1386525296"/>
      </c:scatterChart>
      <c:valAx>
        <c:axId val="143528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25296"/>
        <c:crosses val="autoZero"/>
        <c:crossBetween val="midCat"/>
      </c:valAx>
      <c:valAx>
        <c:axId val="13865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  <a:r>
                  <a:rPr lang="en-US" baseline="0"/>
                  <a:t> [1000-BTU/hr]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86976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Cooler 3 Duties</a:t>
            </a:r>
            <a:r>
              <a:rPr lang="en-US" baseline="0"/>
              <a:t> Over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IC-1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6-48BD-994F-0A3F4729DE2A}"/>
            </c:ext>
          </c:extLst>
        </c:ser>
        <c:ser>
          <c:idx val="1"/>
          <c:order val="1"/>
          <c:tx>
            <c:v>IC-2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6-48BD-994F-0A3F4729DE2A}"/>
            </c:ext>
          </c:extLst>
        </c:ser>
        <c:ser>
          <c:idx val="2"/>
          <c:order val="2"/>
          <c:tx>
            <c:v>IC-3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6-48BD-994F-0A3F4729DE2A}"/>
            </c:ext>
          </c:extLst>
        </c:ser>
        <c:ser>
          <c:idx val="3"/>
          <c:order val="3"/>
          <c:tx>
            <c:v>IC-4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6-48BD-994F-0A3F4729DE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71391552"/>
        <c:axId val="1371390592"/>
      </c:scatterChart>
      <c:valAx>
        <c:axId val="137139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90592"/>
        <c:crosses val="autoZero"/>
        <c:crossBetween val="midCat"/>
      </c:valAx>
      <c:valAx>
        <c:axId val="13713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</a:t>
                </a:r>
                <a:r>
                  <a:rPr lang="en-US" baseline="0"/>
                  <a:t> [1000-BTU/hr]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9155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926940</xdr:colOff>
      <xdr:row>4</xdr:row>
      <xdr:rowOff>65399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𝑝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𝑝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𝐶_(𝑝,𝑚𝑖𝑥)=∑_𝑖▒〖𝑥_𝑖 𝐶_(𝑝,𝑖)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7</xdr:col>
      <xdr:colOff>891963</xdr:colOff>
      <xdr:row>7</xdr:row>
      <xdr:rowOff>155340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𝑀𝑀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𝑀𝑀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〖𝑀𝑀〗_𝑚𝑖𝑥=∑_𝑖▒〖𝑥_𝑖 〖𝑀𝑀〗_𝑖 〗</a:t>
              </a:r>
              <a:endParaRPr lang="en-US" sz="1800"/>
            </a:p>
          </xdr:txBody>
        </xdr:sp>
      </mc:Fallback>
    </mc:AlternateContent>
    <xdr:clientData/>
  </xdr:oneCellAnchor>
  <xdr:twoCellAnchor editAs="oneCell">
    <xdr:from>
      <xdr:col>10</xdr:col>
      <xdr:colOff>302558</xdr:colOff>
      <xdr:row>1</xdr:row>
      <xdr:rowOff>11206</xdr:rowOff>
    </xdr:from>
    <xdr:to>
      <xdr:col>22</xdr:col>
      <xdr:colOff>491940</xdr:colOff>
      <xdr:row>12</xdr:row>
      <xdr:rowOff>186541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647033-B084-D1A7-5CDA-552002DF2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4970" y="448235"/>
          <a:ext cx="7447619" cy="32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449035</xdr:colOff>
      <xdr:row>15</xdr:row>
      <xdr:rowOff>54428</xdr:rowOff>
    </xdr:from>
    <xdr:to>
      <xdr:col>24</xdr:col>
      <xdr:colOff>457487</xdr:colOff>
      <xdr:row>56</xdr:row>
      <xdr:rowOff>141618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E0140-6884-254F-2C4C-3E8C33E3C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499" y="4435928"/>
          <a:ext cx="8580952" cy="100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392205</xdr:colOff>
      <xdr:row>9</xdr:row>
      <xdr:rowOff>82363</xdr:rowOff>
    </xdr:from>
    <xdr:to>
      <xdr:col>6</xdr:col>
      <xdr:colOff>1706655</xdr:colOff>
      <xdr:row>31</xdr:row>
      <xdr:rowOff>187137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EB9FD-5B46-4190-A9DC-B15688266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498659</xdr:colOff>
      <xdr:row>34</xdr:row>
      <xdr:rowOff>57148</xdr:rowOff>
    </xdr:from>
    <xdr:to>
      <xdr:col>7</xdr:col>
      <xdr:colOff>156883</xdr:colOff>
      <xdr:row>59</xdr:row>
      <xdr:rowOff>100852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4F3DB-2008-4D9D-8D1B-915F9E1B1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100852</xdr:colOff>
      <xdr:row>10</xdr:row>
      <xdr:rowOff>68354</xdr:rowOff>
    </xdr:from>
    <xdr:to>
      <xdr:col>19</xdr:col>
      <xdr:colOff>515471</xdr:colOff>
      <xdr:row>35</xdr:row>
      <xdr:rowOff>168087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B264C-15EE-4553-8E8A-F062E42E8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41E9-A2E6-43B8-8EA8-6B3FAEE4479E}">
  <dimension ref="A1:AA43"/>
  <sheetViews>
    <sheetView zoomScale="64" zoomScaleNormal="55" workbookViewId="0">
      <selection activeCell="B33" sqref="B33"/>
    </sheetView>
  </sheetViews>
  <sheetFormatPr defaultColWidth="9.140625" defaultRowHeight="15.75" x14ac:dyDescent="0.25"/>
  <cols>
    <col min="1" max="1" width="33.140625" style="9" customWidth="1"/>
    <col min="2" max="2" width="22.140625" style="9" bestFit="1" customWidth="1"/>
    <col min="3" max="3" width="22.42578125" style="9" customWidth="1"/>
    <col min="4" max="4" width="12.7109375" style="9" customWidth="1"/>
    <col min="5" max="5" width="18.5703125" style="9" customWidth="1"/>
    <col min="6" max="6" width="15.5703125" style="9" customWidth="1"/>
    <col min="7" max="7" width="16.85546875" style="9" customWidth="1"/>
    <col min="8" max="8" width="20.140625" style="9" customWidth="1"/>
    <col min="9" max="9" width="18.42578125" style="9" customWidth="1"/>
    <col min="10" max="10" width="16.85546875" style="9" bestFit="1" customWidth="1"/>
    <col min="11" max="11" width="17.5703125" style="9" bestFit="1" customWidth="1"/>
    <col min="12" max="12" width="17.5703125" style="9" customWidth="1"/>
    <col min="13" max="13" width="19.140625" style="9" bestFit="1" customWidth="1"/>
    <col min="14" max="14" width="14" style="9" customWidth="1"/>
    <col min="15" max="15" width="13.85546875" style="9" bestFit="1" customWidth="1"/>
    <col min="16" max="16" width="11" style="9" bestFit="1" customWidth="1"/>
    <col min="17" max="17" width="12.85546875" style="9" customWidth="1"/>
    <col min="18" max="21" width="9.140625" style="9"/>
    <col min="22" max="22" width="9.28515625" style="9" bestFit="1" customWidth="1"/>
    <col min="23" max="25" width="10.140625" style="9" bestFit="1" customWidth="1"/>
    <col min="26" max="16384" width="9.140625" style="9"/>
  </cols>
  <sheetData>
    <row r="1" spans="1:27" s="10" customFormat="1" ht="47.45" customHeight="1" thickBot="1" x14ac:dyDescent="0.3">
      <c r="A1" s="51" t="s">
        <v>44</v>
      </c>
      <c r="B1" s="51"/>
      <c r="C1" s="51"/>
      <c r="D1" s="51"/>
      <c r="E1" s="51"/>
      <c r="F1" s="51"/>
      <c r="G1" s="51"/>
      <c r="H1" s="51"/>
      <c r="I1" s="51"/>
      <c r="J1" s="7"/>
      <c r="K1" s="6"/>
      <c r="L1" s="6"/>
      <c r="M1" s="6"/>
      <c r="N1" s="6"/>
      <c r="O1" s="9"/>
      <c r="P1" s="9"/>
      <c r="Q1" s="9"/>
      <c r="R1" s="9"/>
      <c r="S1" s="9"/>
    </row>
    <row r="2" spans="1:27" s="10" customFormat="1" ht="33" customHeight="1" thickTop="1" thickBot="1" x14ac:dyDescent="0.3">
      <c r="A2" s="48" t="s">
        <v>19</v>
      </c>
      <c r="B2" s="49"/>
      <c r="C2" s="49"/>
      <c r="D2" s="49"/>
      <c r="E2" s="49"/>
      <c r="F2" s="49"/>
      <c r="G2" s="49"/>
      <c r="H2" s="49"/>
      <c r="I2" s="50"/>
      <c r="J2" s="7"/>
      <c r="K2" s="11"/>
      <c r="L2" s="11"/>
      <c r="M2" s="11"/>
      <c r="P2" s="9"/>
      <c r="Q2" s="9"/>
      <c r="R2" s="9"/>
      <c r="S2" s="9"/>
      <c r="T2" s="12"/>
      <c r="U2" s="12"/>
      <c r="V2" s="12"/>
      <c r="W2" s="12"/>
      <c r="X2" s="12"/>
      <c r="Y2" s="12"/>
      <c r="Z2" s="12"/>
      <c r="AA2" s="12"/>
    </row>
    <row r="3" spans="1:27" s="10" customFormat="1" ht="22.5" customHeight="1" thickTop="1" thickBot="1" x14ac:dyDescent="0.3">
      <c r="A3" s="8" t="s">
        <v>0</v>
      </c>
      <c r="B3" s="58" t="s">
        <v>1</v>
      </c>
      <c r="C3" s="60"/>
      <c r="D3" s="58" t="s">
        <v>2</v>
      </c>
      <c r="E3" s="60"/>
      <c r="F3" s="58" t="s">
        <v>3</v>
      </c>
      <c r="G3" s="60"/>
      <c r="H3" s="58" t="s">
        <v>18</v>
      </c>
      <c r="I3" s="60"/>
      <c r="J3" s="7"/>
      <c r="K3" s="48" t="s">
        <v>43</v>
      </c>
      <c r="L3" s="49"/>
      <c r="M3" s="50"/>
      <c r="N3" s="12"/>
      <c r="O3" s="12"/>
      <c r="P3" s="9"/>
      <c r="Q3" s="9"/>
      <c r="R3" s="9"/>
      <c r="S3" s="9"/>
    </row>
    <row r="4" spans="1:27" s="10" customFormat="1" ht="22.5" customHeight="1" thickTop="1" thickBot="1" x14ac:dyDescent="0.3">
      <c r="A4" s="13"/>
      <c r="B4" s="8" t="s">
        <v>5</v>
      </c>
      <c r="C4" s="14" t="s">
        <v>6</v>
      </c>
      <c r="D4" s="15" t="s">
        <v>5</v>
      </c>
      <c r="E4" s="16" t="s">
        <v>6</v>
      </c>
      <c r="F4" s="8" t="s">
        <v>5</v>
      </c>
      <c r="G4" s="14" t="s">
        <v>6</v>
      </c>
      <c r="H4" s="8" t="s">
        <v>5</v>
      </c>
      <c r="I4" s="14" t="s">
        <v>6</v>
      </c>
      <c r="J4" s="7"/>
      <c r="K4" s="52">
        <v>45834</v>
      </c>
      <c r="L4" s="53"/>
      <c r="M4" s="54"/>
      <c r="P4" s="9"/>
      <c r="Q4" s="9"/>
      <c r="R4" s="9"/>
      <c r="S4" s="9"/>
    </row>
    <row r="5" spans="1:27" ht="21.75" customHeight="1" thickTop="1" thickBot="1" x14ac:dyDescent="0.3">
      <c r="A5" s="17">
        <v>1</v>
      </c>
      <c r="B5" s="18">
        <v>179</v>
      </c>
      <c r="C5" s="19">
        <v>91.5</v>
      </c>
      <c r="D5" s="15">
        <v>206.9</v>
      </c>
      <c r="E5" s="16">
        <v>92.4</v>
      </c>
      <c r="F5" s="19">
        <v>209.6</v>
      </c>
      <c r="G5" s="20">
        <v>90.6</v>
      </c>
      <c r="H5" s="19">
        <v>225.3</v>
      </c>
      <c r="I5" s="16">
        <v>114.9</v>
      </c>
      <c r="J5" s="7"/>
      <c r="K5" s="55"/>
      <c r="L5" s="56"/>
      <c r="M5" s="57"/>
      <c r="N5" s="10"/>
      <c r="O5" s="10"/>
    </row>
    <row r="6" spans="1:27" ht="21" customHeight="1" thickTop="1" x14ac:dyDescent="0.25">
      <c r="A6" s="17">
        <v>2</v>
      </c>
      <c r="B6" s="19">
        <v>178</v>
      </c>
      <c r="C6" s="19">
        <v>97</v>
      </c>
      <c r="D6" s="18">
        <v>209.1</v>
      </c>
      <c r="E6" s="20">
        <v>94.5</v>
      </c>
      <c r="F6" s="19">
        <v>210.4</v>
      </c>
      <c r="G6" s="20">
        <v>94.5</v>
      </c>
      <c r="H6" s="19">
        <v>228.2</v>
      </c>
      <c r="I6" s="20">
        <v>100.6</v>
      </c>
      <c r="J6" s="7"/>
    </row>
    <row r="7" spans="1:27" ht="21" customHeight="1" x14ac:dyDescent="0.25">
      <c r="A7" s="17">
        <v>3</v>
      </c>
      <c r="B7" s="19">
        <v>178.2</v>
      </c>
      <c r="C7" s="19">
        <v>91.6</v>
      </c>
      <c r="D7" s="18">
        <v>210.8</v>
      </c>
      <c r="E7" s="20">
        <v>93.2</v>
      </c>
      <c r="F7" s="19">
        <v>210.3</v>
      </c>
      <c r="G7" s="20">
        <v>91</v>
      </c>
      <c r="H7" s="19">
        <v>227</v>
      </c>
      <c r="I7" s="20">
        <v>116</v>
      </c>
      <c r="J7" s="7"/>
    </row>
    <row r="8" spans="1:27" ht="21" customHeight="1" x14ac:dyDescent="0.25">
      <c r="A8" s="17">
        <v>4</v>
      </c>
      <c r="B8" s="19">
        <v>177.8</v>
      </c>
      <c r="C8" s="19">
        <v>91.2</v>
      </c>
      <c r="D8" s="18">
        <v>210.6</v>
      </c>
      <c r="E8" s="21">
        <v>89.6</v>
      </c>
      <c r="F8" s="19">
        <v>209.6</v>
      </c>
      <c r="G8" s="21">
        <v>89.8</v>
      </c>
      <c r="H8" s="19">
        <v>233.8</v>
      </c>
      <c r="I8" s="20">
        <v>114.4</v>
      </c>
      <c r="J8" s="7"/>
    </row>
    <row r="9" spans="1:27" ht="21" customHeight="1" x14ac:dyDescent="0.25">
      <c r="A9" s="17">
        <v>5</v>
      </c>
      <c r="B9" s="19">
        <v>179.7</v>
      </c>
      <c r="C9" s="19">
        <v>90.8</v>
      </c>
      <c r="D9" s="18">
        <v>207.9</v>
      </c>
      <c r="E9" s="21">
        <v>93</v>
      </c>
      <c r="F9" s="19">
        <v>206.1</v>
      </c>
      <c r="G9" s="21">
        <v>91.7</v>
      </c>
      <c r="H9" s="19">
        <v>228.3</v>
      </c>
      <c r="I9" s="20">
        <v>116.8</v>
      </c>
      <c r="J9" s="7"/>
      <c r="K9" s="6"/>
      <c r="L9" s="6"/>
      <c r="M9" s="6"/>
      <c r="N9" s="6"/>
    </row>
    <row r="10" spans="1:27" ht="21" customHeight="1" x14ac:dyDescent="0.25">
      <c r="A10" s="17">
        <v>6</v>
      </c>
      <c r="B10" s="19">
        <v>180.4</v>
      </c>
      <c r="C10" s="19">
        <v>92.3</v>
      </c>
      <c r="D10" s="18">
        <v>206</v>
      </c>
      <c r="E10" s="21">
        <v>91.5</v>
      </c>
      <c r="F10" s="19">
        <v>206</v>
      </c>
      <c r="G10" s="21">
        <v>92.8</v>
      </c>
      <c r="H10" s="19">
        <v>230</v>
      </c>
      <c r="I10" s="20">
        <v>116.1</v>
      </c>
      <c r="J10" s="7"/>
      <c r="K10" s="6"/>
      <c r="L10" s="6"/>
      <c r="M10" s="6"/>
      <c r="N10" s="6"/>
      <c r="O10" s="19"/>
      <c r="P10" s="19"/>
    </row>
    <row r="11" spans="1:27" ht="21" customHeight="1" x14ac:dyDescent="0.25">
      <c r="A11" s="17">
        <v>7</v>
      </c>
      <c r="B11" s="19">
        <v>177.6</v>
      </c>
      <c r="C11" s="19">
        <v>91.5</v>
      </c>
      <c r="D11" s="18">
        <v>195.1</v>
      </c>
      <c r="E11" s="21">
        <v>92.9</v>
      </c>
      <c r="F11" s="19">
        <v>205</v>
      </c>
      <c r="G11" s="21">
        <v>90</v>
      </c>
      <c r="H11" s="19">
        <v>218.8</v>
      </c>
      <c r="I11" s="20">
        <v>114.5</v>
      </c>
      <c r="J11" s="7"/>
      <c r="K11" s="6"/>
      <c r="L11" s="6"/>
      <c r="M11" s="6"/>
      <c r="N11" s="6"/>
    </row>
    <row r="12" spans="1:27" ht="21" customHeight="1" x14ac:dyDescent="0.25">
      <c r="A12" s="17">
        <v>8</v>
      </c>
      <c r="B12" s="19">
        <v>184</v>
      </c>
      <c r="C12" s="19">
        <v>93.4</v>
      </c>
      <c r="D12" s="18">
        <v>208.7</v>
      </c>
      <c r="E12" s="21">
        <v>94.7</v>
      </c>
      <c r="F12" s="19">
        <v>209.5</v>
      </c>
      <c r="G12" s="21">
        <v>92.9</v>
      </c>
      <c r="H12" s="19">
        <v>227.5</v>
      </c>
      <c r="I12" s="20">
        <v>115.7</v>
      </c>
      <c r="J12" s="7"/>
      <c r="K12" s="6"/>
      <c r="L12" s="6"/>
      <c r="M12" s="6"/>
      <c r="N12" s="6"/>
    </row>
    <row r="13" spans="1:27" ht="21" customHeight="1" x14ac:dyDescent="0.25">
      <c r="A13" s="17">
        <v>9</v>
      </c>
      <c r="B13" s="19">
        <v>184</v>
      </c>
      <c r="C13" s="19">
        <v>97.4</v>
      </c>
      <c r="D13" s="18">
        <v>215</v>
      </c>
      <c r="E13" s="21">
        <v>94.8</v>
      </c>
      <c r="F13" s="19">
        <v>210.3</v>
      </c>
      <c r="G13" s="21">
        <v>90.9</v>
      </c>
      <c r="H13" s="19">
        <v>220.2</v>
      </c>
      <c r="I13" s="20">
        <v>116.2</v>
      </c>
      <c r="J13" s="7"/>
      <c r="K13" s="6"/>
      <c r="L13" s="6"/>
      <c r="M13" s="6"/>
      <c r="N13" s="6"/>
    </row>
    <row r="14" spans="1:27" ht="21.75" thickBot="1" x14ac:dyDescent="0.3">
      <c r="A14" s="22">
        <v>10</v>
      </c>
      <c r="B14" s="23">
        <v>186</v>
      </c>
      <c r="C14" s="24">
        <v>92.8</v>
      </c>
      <c r="D14" s="23">
        <v>208.65</v>
      </c>
      <c r="E14" s="24">
        <v>89.3</v>
      </c>
      <c r="F14" s="25">
        <v>209</v>
      </c>
      <c r="G14" s="24">
        <v>90.4</v>
      </c>
      <c r="H14" s="25">
        <v>218</v>
      </c>
      <c r="I14" s="24">
        <v>115.5</v>
      </c>
      <c r="J14" s="19"/>
      <c r="K14" s="19"/>
      <c r="L14" s="19"/>
      <c r="M14" s="19"/>
    </row>
    <row r="15" spans="1:27" ht="17.25" thickTop="1" thickBot="1" x14ac:dyDescent="0.3"/>
    <row r="16" spans="1:27" ht="33" thickTop="1" thickBot="1" x14ac:dyDescent="0.3">
      <c r="A16" s="48" t="s">
        <v>20</v>
      </c>
      <c r="B16" s="49"/>
      <c r="C16" s="50"/>
      <c r="D16" s="19"/>
      <c r="E16" s="48" t="s">
        <v>39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26"/>
    </row>
    <row r="17" spans="1:17" ht="22.5" thickTop="1" thickBot="1" x14ac:dyDescent="0.3">
      <c r="A17" s="8" t="s">
        <v>0</v>
      </c>
      <c r="B17" s="15" t="s">
        <v>21</v>
      </c>
      <c r="C17" s="14" t="s">
        <v>22</v>
      </c>
      <c r="D17" s="17"/>
      <c r="E17" s="8" t="s">
        <v>0</v>
      </c>
      <c r="F17" s="58" t="s">
        <v>1</v>
      </c>
      <c r="G17" s="59"/>
      <c r="H17" s="59"/>
      <c r="I17" s="58" t="s">
        <v>2</v>
      </c>
      <c r="J17" s="59"/>
      <c r="K17" s="59"/>
      <c r="L17" s="58" t="s">
        <v>3</v>
      </c>
      <c r="M17" s="59"/>
      <c r="N17" s="59"/>
      <c r="O17" s="58" t="s">
        <v>18</v>
      </c>
      <c r="P17" s="59"/>
      <c r="Q17" s="60"/>
    </row>
    <row r="18" spans="1:17" ht="22.5" thickTop="1" thickBot="1" x14ac:dyDescent="0.3">
      <c r="A18" s="27">
        <v>1</v>
      </c>
      <c r="B18" s="15">
        <v>5.8</v>
      </c>
      <c r="C18" s="16" t="s">
        <v>45</v>
      </c>
      <c r="D18" s="19"/>
      <c r="E18" s="13"/>
      <c r="F18" s="8" t="s">
        <v>40</v>
      </c>
      <c r="G18" s="28" t="s">
        <v>41</v>
      </c>
      <c r="H18" s="14" t="s">
        <v>42</v>
      </c>
      <c r="I18" s="8" t="s">
        <v>40</v>
      </c>
      <c r="J18" s="28" t="s">
        <v>41</v>
      </c>
      <c r="K18" s="14" t="s">
        <v>42</v>
      </c>
      <c r="L18" s="8" t="s">
        <v>40</v>
      </c>
      <c r="M18" s="28" t="s">
        <v>41</v>
      </c>
      <c r="N18" s="14" t="s">
        <v>42</v>
      </c>
      <c r="O18" s="8" t="s">
        <v>40</v>
      </c>
      <c r="P18" s="28" t="s">
        <v>41</v>
      </c>
      <c r="Q18" s="14" t="s">
        <v>42</v>
      </c>
    </row>
    <row r="19" spans="1:17" ht="21.75" thickTop="1" x14ac:dyDescent="0.25">
      <c r="A19" s="17">
        <v>2</v>
      </c>
      <c r="B19" s="18">
        <v>5.7</v>
      </c>
      <c r="C19" s="20" t="s">
        <v>45</v>
      </c>
      <c r="D19" s="19"/>
      <c r="E19" s="17">
        <v>1</v>
      </c>
      <c r="F19" s="18" t="s">
        <v>45</v>
      </c>
      <c r="G19" s="29">
        <v>0.81399999999999995</v>
      </c>
      <c r="H19" s="30"/>
      <c r="I19" s="15" t="s">
        <v>45</v>
      </c>
      <c r="J19" s="31">
        <v>1</v>
      </c>
      <c r="K19" s="16"/>
      <c r="L19" s="15" t="s">
        <v>45</v>
      </c>
      <c r="M19" s="29">
        <v>0.628</v>
      </c>
      <c r="N19" s="16"/>
      <c r="O19" s="15" t="s">
        <v>45</v>
      </c>
      <c r="P19" s="32">
        <v>0.25600000000000001</v>
      </c>
      <c r="Q19" s="16"/>
    </row>
    <row r="20" spans="1:17" ht="21" x14ac:dyDescent="0.25">
      <c r="A20" s="17">
        <v>3</v>
      </c>
      <c r="B20" s="18">
        <v>5.6</v>
      </c>
      <c r="C20" s="33" t="s">
        <v>45</v>
      </c>
      <c r="D20" s="19"/>
      <c r="E20" s="17">
        <v>2</v>
      </c>
      <c r="F20" s="19" t="s">
        <v>45</v>
      </c>
      <c r="G20" s="29">
        <v>1</v>
      </c>
      <c r="H20" s="19"/>
      <c r="I20" s="18" t="s">
        <v>45</v>
      </c>
      <c r="J20" s="29">
        <v>1</v>
      </c>
      <c r="K20" s="20"/>
      <c r="L20" s="18" t="s">
        <v>45</v>
      </c>
      <c r="M20" s="29">
        <v>1</v>
      </c>
      <c r="N20" s="20"/>
      <c r="O20" s="18" t="s">
        <v>45</v>
      </c>
      <c r="P20" s="29">
        <v>0</v>
      </c>
      <c r="Q20" s="20"/>
    </row>
    <row r="21" spans="1:17" ht="21" x14ac:dyDescent="0.25">
      <c r="A21" s="17">
        <v>4</v>
      </c>
      <c r="B21" s="19">
        <v>5.4</v>
      </c>
      <c r="C21" s="20" t="s">
        <v>45</v>
      </c>
      <c r="D21" s="19"/>
      <c r="E21" s="17">
        <v>3</v>
      </c>
      <c r="F21" s="19" t="s">
        <v>45</v>
      </c>
      <c r="G21" s="29">
        <v>0.89800000000000002</v>
      </c>
      <c r="H21" s="19"/>
      <c r="I21" s="18" t="s">
        <v>45</v>
      </c>
      <c r="J21" s="29">
        <v>1</v>
      </c>
      <c r="K21" s="20"/>
      <c r="L21" s="18" t="s">
        <v>45</v>
      </c>
      <c r="M21" s="29">
        <v>0.47799999999999998</v>
      </c>
      <c r="N21" s="20"/>
      <c r="O21" s="18" t="s">
        <v>45</v>
      </c>
      <c r="P21" s="32">
        <v>0.48099999999999998</v>
      </c>
      <c r="Q21" s="20"/>
    </row>
    <row r="22" spans="1:17" ht="21" x14ac:dyDescent="0.25">
      <c r="A22" s="17">
        <v>5</v>
      </c>
      <c r="B22" s="19">
        <v>5.8</v>
      </c>
      <c r="C22" s="20" t="s">
        <v>45</v>
      </c>
      <c r="D22" s="19"/>
      <c r="E22" s="17">
        <v>4</v>
      </c>
      <c r="F22" s="19" t="s">
        <v>45</v>
      </c>
      <c r="G22" s="32">
        <v>1</v>
      </c>
      <c r="H22" s="19"/>
      <c r="I22" s="18" t="s">
        <v>45</v>
      </c>
      <c r="J22" s="34">
        <v>0.98899999999999999</v>
      </c>
      <c r="K22" s="20"/>
      <c r="L22" s="18" t="s">
        <v>45</v>
      </c>
      <c r="M22" s="35">
        <v>0.99399999999999999</v>
      </c>
      <c r="N22" s="20"/>
      <c r="O22" s="18" t="s">
        <v>45</v>
      </c>
      <c r="P22" s="32">
        <v>0.255</v>
      </c>
      <c r="Q22" s="20"/>
    </row>
    <row r="23" spans="1:17" ht="21" x14ac:dyDescent="0.25">
      <c r="A23" s="17">
        <v>6</v>
      </c>
      <c r="B23" s="19">
        <v>5.8</v>
      </c>
      <c r="C23" s="20" t="s">
        <v>45</v>
      </c>
      <c r="E23" s="17">
        <v>5</v>
      </c>
      <c r="F23" s="19" t="s">
        <v>45</v>
      </c>
      <c r="G23" s="32">
        <v>1</v>
      </c>
      <c r="H23" s="19"/>
      <c r="I23" s="18" t="s">
        <v>45</v>
      </c>
      <c r="J23" s="34">
        <v>1</v>
      </c>
      <c r="K23" s="20"/>
      <c r="L23" s="18" t="s">
        <v>45</v>
      </c>
      <c r="M23" s="35">
        <v>0.75</v>
      </c>
      <c r="N23" s="20"/>
      <c r="O23" s="18" t="s">
        <v>45</v>
      </c>
      <c r="P23" s="32">
        <v>0.27300000000000002</v>
      </c>
      <c r="Q23" s="20"/>
    </row>
    <row r="24" spans="1:17" ht="21" x14ac:dyDescent="0.25">
      <c r="A24" s="17">
        <v>7</v>
      </c>
      <c r="B24" s="19">
        <v>5.9</v>
      </c>
      <c r="C24" s="20" t="s">
        <v>45</v>
      </c>
      <c r="E24" s="17">
        <v>6</v>
      </c>
      <c r="F24" s="19" t="s">
        <v>45</v>
      </c>
      <c r="G24" s="32">
        <v>0.79600000000000004</v>
      </c>
      <c r="H24" s="19"/>
      <c r="I24" s="18" t="s">
        <v>45</v>
      </c>
      <c r="J24" s="34">
        <v>0.56299999999999994</v>
      </c>
      <c r="K24" s="20"/>
      <c r="L24" s="18" t="s">
        <v>45</v>
      </c>
      <c r="M24" s="35">
        <v>1</v>
      </c>
      <c r="N24" s="20"/>
      <c r="O24" s="18" t="s">
        <v>45</v>
      </c>
      <c r="P24" s="32">
        <v>0.38600000000000001</v>
      </c>
      <c r="Q24" s="20"/>
    </row>
    <row r="25" spans="1:17" ht="21" x14ac:dyDescent="0.25">
      <c r="A25" s="17">
        <v>8</v>
      </c>
      <c r="B25" s="19">
        <v>5.7</v>
      </c>
      <c r="C25" s="20" t="s">
        <v>45</v>
      </c>
      <c r="E25" s="17">
        <v>7</v>
      </c>
      <c r="F25" s="19" t="s">
        <v>45</v>
      </c>
      <c r="G25" s="32">
        <v>1</v>
      </c>
      <c r="H25" s="19"/>
      <c r="I25" s="18" t="s">
        <v>45</v>
      </c>
      <c r="J25" s="34">
        <v>1</v>
      </c>
      <c r="K25" s="20"/>
      <c r="L25" s="18" t="s">
        <v>45</v>
      </c>
      <c r="M25" s="35">
        <v>0.64300000000000002</v>
      </c>
      <c r="N25" s="20"/>
      <c r="O25" s="18" t="s">
        <v>45</v>
      </c>
      <c r="P25" s="32">
        <v>0.31</v>
      </c>
      <c r="Q25" s="20"/>
    </row>
    <row r="26" spans="1:17" ht="21" x14ac:dyDescent="0.25">
      <c r="A26" s="17">
        <v>9</v>
      </c>
      <c r="B26" s="19">
        <v>6.3</v>
      </c>
      <c r="C26" s="20" t="s">
        <v>45</v>
      </c>
      <c r="E26" s="17">
        <v>8</v>
      </c>
      <c r="F26" s="19" t="s">
        <v>45</v>
      </c>
      <c r="G26" s="32">
        <v>1</v>
      </c>
      <c r="H26" s="19"/>
      <c r="I26" s="18" t="s">
        <v>45</v>
      </c>
      <c r="J26" s="34">
        <v>1</v>
      </c>
      <c r="K26" s="20"/>
      <c r="L26" s="18" t="s">
        <v>45</v>
      </c>
      <c r="M26" s="35">
        <v>1</v>
      </c>
      <c r="N26" s="20"/>
      <c r="O26" s="18" t="s">
        <v>45</v>
      </c>
      <c r="P26" s="32">
        <v>0.313</v>
      </c>
      <c r="Q26" s="20"/>
    </row>
    <row r="27" spans="1:17" ht="21.75" thickBot="1" x14ac:dyDescent="0.3">
      <c r="A27" s="22">
        <v>10</v>
      </c>
      <c r="B27" s="23">
        <v>6.2</v>
      </c>
      <c r="C27" s="24" t="s">
        <v>45</v>
      </c>
      <c r="E27" s="17">
        <v>9</v>
      </c>
      <c r="F27" s="19" t="s">
        <v>45</v>
      </c>
      <c r="G27" s="32">
        <v>1</v>
      </c>
      <c r="H27" s="19"/>
      <c r="I27" s="18" t="s">
        <v>45</v>
      </c>
      <c r="J27" s="34">
        <v>1</v>
      </c>
      <c r="K27" s="20"/>
      <c r="L27" s="18" t="s">
        <v>45</v>
      </c>
      <c r="M27" s="35">
        <v>0.80600000000000005</v>
      </c>
      <c r="N27" s="20"/>
      <c r="O27" s="18" t="s">
        <v>45</v>
      </c>
      <c r="P27" s="32">
        <v>0.17899999999999999</v>
      </c>
      <c r="Q27" s="20"/>
    </row>
    <row r="28" spans="1:17" ht="22.5" thickTop="1" thickBot="1" x14ac:dyDescent="0.3">
      <c r="E28" s="22">
        <v>10</v>
      </c>
      <c r="F28" s="18" t="s">
        <v>45</v>
      </c>
      <c r="G28" s="32">
        <v>1</v>
      </c>
      <c r="H28" s="24"/>
      <c r="I28" s="23" t="s">
        <v>45</v>
      </c>
      <c r="J28" s="36">
        <v>0.51400000000000001</v>
      </c>
      <c r="K28" s="24"/>
      <c r="L28" s="23" t="s">
        <v>45</v>
      </c>
      <c r="M28" s="36">
        <v>0.38500000000000001</v>
      </c>
      <c r="N28" s="20"/>
      <c r="O28" s="23" t="s">
        <v>45</v>
      </c>
      <c r="P28" s="36">
        <v>0.35299999999999998</v>
      </c>
      <c r="Q28" s="24"/>
    </row>
    <row r="29" spans="1:17" ht="17.25" thickTop="1" thickBot="1" x14ac:dyDescent="0.3">
      <c r="F29" s="37"/>
      <c r="G29" s="37"/>
      <c r="J29" s="38"/>
      <c r="K29" s="38"/>
      <c r="L29" s="38"/>
      <c r="M29" s="38"/>
      <c r="N29" s="38"/>
      <c r="O29" s="38"/>
    </row>
    <row r="30" spans="1:17" ht="33" thickTop="1" thickBot="1" x14ac:dyDescent="0.3">
      <c r="A30" s="48" t="s">
        <v>38</v>
      </c>
      <c r="B30" s="49"/>
      <c r="C30" s="49"/>
      <c r="D30" s="49"/>
      <c r="E30" s="49"/>
      <c r="F30" s="49"/>
      <c r="G30" s="49"/>
      <c r="H30" s="49"/>
      <c r="I30" s="50"/>
    </row>
    <row r="31" spans="1:17" ht="22.5" thickTop="1" thickBot="1" x14ac:dyDescent="0.3">
      <c r="A31" s="39" t="s">
        <v>0</v>
      </c>
      <c r="B31" s="58" t="s">
        <v>1</v>
      </c>
      <c r="C31" s="60"/>
      <c r="D31" s="58" t="s">
        <v>2</v>
      </c>
      <c r="E31" s="60"/>
      <c r="F31" s="58" t="s">
        <v>3</v>
      </c>
      <c r="G31" s="60"/>
      <c r="H31" s="58" t="s">
        <v>18</v>
      </c>
      <c r="I31" s="60"/>
    </row>
    <row r="32" spans="1:17" ht="22.5" thickTop="1" thickBot="1" x14ac:dyDescent="0.3">
      <c r="A32" s="27"/>
      <c r="B32" s="18" t="s">
        <v>16</v>
      </c>
      <c r="C32" s="40" t="s">
        <v>17</v>
      </c>
      <c r="D32" s="8" t="s">
        <v>16</v>
      </c>
      <c r="E32" s="41" t="s">
        <v>17</v>
      </c>
      <c r="F32" s="23" t="s">
        <v>16</v>
      </c>
      <c r="G32" s="42" t="s">
        <v>17</v>
      </c>
      <c r="H32" s="8" t="s">
        <v>16</v>
      </c>
      <c r="I32" s="41" t="s">
        <v>17</v>
      </c>
    </row>
    <row r="33" spans="1:25" ht="21.75" thickTop="1" x14ac:dyDescent="0.25">
      <c r="A33" s="17">
        <v>1</v>
      </c>
      <c r="B33" s="15">
        <f>'Constants and Properties'!$H$4/397.3*AVERAGE($B$18:$C$18)*1/24*1000000*'Constants and Properties'!$E$4*(B5-C5)/1000</f>
        <v>736.15221378596652</v>
      </c>
      <c r="C33" s="43">
        <f>B33/'Constants and Properties'!$B$21*100</f>
        <v>104.62623180637448</v>
      </c>
      <c r="D33" s="15">
        <f>'Constants and Properties'!$H$4/397.3*AVERAGE($B$18:$C$18)*1/24*1000000*'Constants and Properties'!$E$4*(D5-E5)/1000</f>
        <v>963.30775403992175</v>
      </c>
      <c r="E33" s="40">
        <f>D33/'Constants and Properties'!$C$21*100</f>
        <v>103.81461252028301</v>
      </c>
      <c r="F33" s="15">
        <f>'Constants and Properties'!$H$4/397.3*AVERAGE($B$18:$C$18)*1/24*1000000*'Constants and Properties'!$E$4*(F5-G5)/1000</f>
        <v>1001.1670107489143</v>
      </c>
      <c r="G33" s="44">
        <f>F33/'Constants and Properties'!$D$21*100</f>
        <v>106.19196713618635</v>
      </c>
      <c r="H33" s="18">
        <f>'Constants and Properties'!$H$4/397.3*AVERAGE($B$18:$C$18)*1/24*1000000*'Constants and Properties'!$E$4*(H5-I5)/1000</f>
        <v>928.81376459395085</v>
      </c>
      <c r="I33" s="44">
        <f>H33/'Constants and Properties'!$E$21*100</f>
        <v>102.10811672779461</v>
      </c>
      <c r="W33" s="45"/>
      <c r="X33" s="45"/>
      <c r="Y33" s="45"/>
    </row>
    <row r="34" spans="1:25" ht="21" x14ac:dyDescent="0.25">
      <c r="A34" s="17">
        <v>2</v>
      </c>
      <c r="B34" s="18">
        <f>'Constants and Properties'!$H$4/397.3*AVERAGE($B$19:$C$19)*1/24*1000000*'Constants and Properties'!$E$4*(B6-C6)/1000</f>
        <v>669.71719626597189</v>
      </c>
      <c r="C34" s="40">
        <f>B34/'Constants and Properties'!$B$21*100</f>
        <v>95.184100935966683</v>
      </c>
      <c r="D34" s="18">
        <f>'Constants and Properties'!$H$4/397.3*AVERAGE($B$19:$C$19)*1/24*1000000*'Constants and Properties'!$E$4*(D6-E6)/1000</f>
        <v>947.52581101333783</v>
      </c>
      <c r="E34" s="40">
        <f>D34/'Constants and Properties'!$C$21*100</f>
        <v>102.11380995407208</v>
      </c>
      <c r="F34" s="18">
        <f>'Constants and Properties'!$H$4/397.3*AVERAGE($B$19:$C$19)*1/24*1000000*'Constants and Properties'!$E$4*(F6-G6)/1000</f>
        <v>958.27435860773016</v>
      </c>
      <c r="G34" s="46">
        <f>F34/'Constants and Properties'!$D$21*100</f>
        <v>101.64242139840451</v>
      </c>
      <c r="H34" s="19">
        <f>'Constants and Properties'!$H$4/397.3*AVERAGE($B$19:$C$19)*1/24*1000000*'Constants and Properties'!$E$4*(H6-I6)/1000</f>
        <v>1055.0112869572592</v>
      </c>
      <c r="I34" s="40">
        <f>H34/'Constants and Properties'!$E$21*100</f>
        <v>115.98150215276668</v>
      </c>
      <c r="J34" s="26"/>
      <c r="W34" s="45"/>
      <c r="X34" s="45"/>
      <c r="Y34" s="45"/>
    </row>
    <row r="35" spans="1:25" ht="21" x14ac:dyDescent="0.25">
      <c r="A35" s="17">
        <v>3</v>
      </c>
      <c r="B35" s="18">
        <f>'Constants and Properties'!$H$4/397.3*AVERAGE($B$20:$C$20)*1/24*1000000*'Constants and Properties'!$E$4*(B7-C7)/1000</f>
        <v>703.45690167023088</v>
      </c>
      <c r="C35" s="46">
        <f>B35/'Constants and Properties'!$B$21*100</f>
        <v>99.979383993732696</v>
      </c>
      <c r="D35" s="19">
        <f>'Constants and Properties'!$H$4/397.3*AVERAGE($B$20:$C$20)*1/24*1000000*'Constants and Properties'!$E$4*(D7-E7)/1000</f>
        <v>955.27172790322368</v>
      </c>
      <c r="E35" s="40">
        <f>D35/'Constants and Properties'!$C$21*100</f>
        <v>102.94857886064987</v>
      </c>
      <c r="F35" s="18">
        <f>'Constants and Properties'!$H$4/397.3*AVERAGE($B$20:$C$20)*1/24*1000000*'Constants and Properties'!$E$4*(F7-G7)/1000</f>
        <v>969.08092805148453</v>
      </c>
      <c r="G35" s="46">
        <f>F35/'Constants and Properties'!$D$21*100</f>
        <v>102.78865459916453</v>
      </c>
      <c r="H35" s="19">
        <f>'Constants and Properties'!$H$4/397.3*AVERAGE($B$20:$C$20)*1/24*1000000*'Constants and Properties'!$E$4*(H7-I7)/1000</f>
        <v>901.65953909232837</v>
      </c>
      <c r="I35" s="46">
        <f>H35/'Constants and Properties'!$E$21*100</f>
        <v>99.122946898421276</v>
      </c>
      <c r="W35" s="45"/>
      <c r="X35" s="45"/>
      <c r="Y35" s="45"/>
    </row>
    <row r="36" spans="1:25" ht="21" x14ac:dyDescent="0.25">
      <c r="A36" s="17">
        <v>4</v>
      </c>
      <c r="B36" s="18">
        <f>'Constants and Properties'!$H$4/397.3*AVERAGE($B$21:$C$21)*1/24*1000000*'Constants and Properties'!$E$4*(B8-C8)/1000</f>
        <v>678.33344089629441</v>
      </c>
      <c r="C36" s="46">
        <f>B36/'Constants and Properties'!$B$21*100</f>
        <v>96.408691708242287</v>
      </c>
      <c r="D36" s="18">
        <f>'Constants and Properties'!$H$4/397.3*AVERAGE($B$21:$C$21)*1/24*1000000*'Constants and Properties'!$E$4*(D8-E8)/1000</f>
        <v>947.78690933546898</v>
      </c>
      <c r="E36" s="40">
        <f>D36/'Constants and Properties'!$C$21*100</f>
        <v>102.14194823182193</v>
      </c>
      <c r="F36" s="18">
        <f>'Constants and Properties'!$H$4/397.3*AVERAGE($B$21:$C$21)*1/24*1000000*'Constants and Properties'!$E$4*(F8-G8)/1000</f>
        <v>938.38736973875359</v>
      </c>
      <c r="G36" s="46">
        <f>F36/'Constants and Properties'!$D$21*100</f>
        <v>99.533044595395069</v>
      </c>
      <c r="H36" s="18">
        <f>'Constants and Properties'!$H$4/397.3*AVERAGE($B$21:$C$21)*1/24*1000000*'Constants and Properties'!$E$4*(H8-I8)/1000</f>
        <v>935.25418987318187</v>
      </c>
      <c r="I36" s="46">
        <f>H36/'Constants and Properties'!$E$21*100</f>
        <v>102.81613777706906</v>
      </c>
      <c r="W36" s="45"/>
      <c r="X36" s="45"/>
      <c r="Y36" s="45"/>
    </row>
    <row r="37" spans="1:25" ht="21" x14ac:dyDescent="0.25">
      <c r="A37" s="17">
        <v>5</v>
      </c>
      <c r="B37" s="18">
        <f>'Constants and Properties'!$H$4/397.3*AVERAGE($B$21:$C$21)*1/24*1000000*'Constants and Properties'!$E$4*(B9-C9)/1000</f>
        <v>696.34922512333208</v>
      </c>
      <c r="C37" s="46">
        <f>B37/'Constants and Properties'!$B$21*100</f>
        <v>98.969199686636685</v>
      </c>
      <c r="D37" s="18">
        <f>'Constants and Properties'!$H$4/397.3*AVERAGE($B$21:$C$21)*1/24*1000000*'Constants and Properties'!$E$4*(D9-E9)/1000</f>
        <v>900.00591638549906</v>
      </c>
      <c r="E37" s="40">
        <f>D37/'Constants and Properties'!$C$21*100</f>
        <v>96.992643403606095</v>
      </c>
      <c r="F37" s="18">
        <f>'Constants and Properties'!$H$4/397.3*AVERAGE($B$21:$C$21)*1/24*1000000*'Constants and Properties'!$E$4*(F9-G9)/1000</f>
        <v>896.08944155353424</v>
      </c>
      <c r="G37" s="46">
        <f>F37/'Constants and Properties'!$D$21*100</f>
        <v>95.046580147856389</v>
      </c>
      <c r="H37" s="18">
        <f>'Constants and Properties'!$H$4/397.3*AVERAGE($B$21:$C$21)*1/24*1000000*'Constants and Properties'!$E$4*(H9-I9)/1000</f>
        <v>873.37388752813888</v>
      </c>
      <c r="I37" s="46">
        <f>H37/'Constants and Properties'!$E$21*100</f>
        <v>96.013394992824132</v>
      </c>
      <c r="W37" s="45"/>
      <c r="X37" s="45"/>
      <c r="Y37" s="45"/>
    </row>
    <row r="38" spans="1:25" ht="21" x14ac:dyDescent="0.25">
      <c r="A38" s="17">
        <v>6</v>
      </c>
      <c r="B38" s="18">
        <f>'Constants and Properties'!$H$4/397.3*AVERAGE($B$21:$C$21)*1/24*1000000*'Constants and Properties'!$E$4*(B10-C10)/1000</f>
        <v>690.08286539218864</v>
      </c>
      <c r="C38" s="46">
        <f>B38/'Constants and Properties'!$B$21*100</f>
        <v>98.078588215890832</v>
      </c>
      <c r="D38" s="18">
        <f>'Constants and Properties'!$H$4/397.3*AVERAGE($B$21:$C$21)*1/24*1000000*'Constants and Properties'!$E$4*(D10-E10)/1000</f>
        <v>896.87273651992723</v>
      </c>
      <c r="E38" s="40">
        <f>D38/'Constants and Properties'!$C$21*100</f>
        <v>96.654984070608336</v>
      </c>
      <c r="F38" s="18">
        <f>'Constants and Properties'!$H$4/397.3*AVERAGE($B$21:$C$21)*1/24*1000000*'Constants and Properties'!$E$4*(F10-G10)/1000</f>
        <v>886.68990195681886</v>
      </c>
      <c r="G38" s="46">
        <f>F38/'Constants and Properties'!$D$21*100</f>
        <v>94.049588048403336</v>
      </c>
      <c r="H38" s="18">
        <f>'Constants and Properties'!$H$4/397.3*AVERAGE($B$21:$C$21)*1/24*1000000*'Constants and Properties'!$E$4*(H10-I10)/1000</f>
        <v>892.17296672156965</v>
      </c>
      <c r="I38" s="46">
        <f>H38/'Constants and Properties'!$E$21*100</f>
        <v>98.080051028544105</v>
      </c>
      <c r="W38" s="45"/>
      <c r="X38" s="45"/>
      <c r="Y38" s="45"/>
    </row>
    <row r="39" spans="1:25" ht="21" x14ac:dyDescent="0.25">
      <c r="A39" s="17">
        <v>7</v>
      </c>
      <c r="B39" s="18">
        <f>'Constants and Properties'!$H$4/397.3*AVERAGE($B$21:$C$21)*1/24*1000000*'Constants and Properties'!$E$4*(B11-C11)/1000</f>
        <v>674.41696606432947</v>
      </c>
      <c r="C39" s="46">
        <f>B39/'Constants and Properties'!$B$21*100</f>
        <v>95.852059539026087</v>
      </c>
      <c r="D39" s="18">
        <f>'Constants and Properties'!$H$4/397.3*AVERAGE($B$21:$C$21)*1/24*1000000*'Constants and Properties'!$E$4*(D11-E11)/1000</f>
        <v>800.5274556535943</v>
      </c>
      <c r="E39" s="40">
        <f>D39/'Constants and Properties'!$C$21*100</f>
        <v>86.271959580927245</v>
      </c>
      <c r="F39" s="18">
        <f>'Constants and Properties'!$H$4/397.3*AVERAGE($B$21:$C$21)*1/24*1000000*'Constants and Properties'!$E$4*(F11-G11)/1000</f>
        <v>900.78921135189194</v>
      </c>
      <c r="G39" s="46">
        <f>F39/'Constants and Properties'!$D$21*100</f>
        <v>95.545076197582901</v>
      </c>
      <c r="H39" s="18">
        <f>'Constants and Properties'!$H$4/397.3*AVERAGE($B$21:$C$21)*1/24*1000000*'Constants and Properties'!$E$4*(H11-I11)/1000</f>
        <v>816.97664994784657</v>
      </c>
      <c r="I39" s="46">
        <f>H39/'Constants and Properties'!$E$21*100</f>
        <v>89.8134268856642</v>
      </c>
      <c r="W39" s="45"/>
      <c r="X39" s="45"/>
      <c r="Y39" s="45"/>
    </row>
    <row r="40" spans="1:25" ht="21" x14ac:dyDescent="0.25">
      <c r="A40" s="17">
        <v>8</v>
      </c>
      <c r="B40" s="18">
        <f>'Constants and Properties'!$H$4/397.3*AVERAGE($B$21:$C$21)*1/24*1000000*'Constants and Properties'!$E$4*(B12-C12)/1000</f>
        <v>709.66523955201228</v>
      </c>
      <c r="C40" s="46">
        <f>B40/'Constants and Properties'!$B$21*100</f>
        <v>100.86174906197172</v>
      </c>
      <c r="D40" s="18">
        <f>'Constants and Properties'!$H$4/397.3*AVERAGE($B$21:$C$21)*1/24*1000000*'Constants and Properties'!$E$4*(D12-E12)/1000</f>
        <v>892.95626168796241</v>
      </c>
      <c r="E40" s="40">
        <f>D40/'Constants and Properties'!$C$21*100</f>
        <v>96.232909904361136</v>
      </c>
      <c r="F40" s="18">
        <f>'Constants and Properties'!$H$4/397.3*AVERAGE($B$21:$C$21)*1/24*1000000*'Constants and Properties'!$E$4*(F12-G12)/1000</f>
        <v>913.32193081417915</v>
      </c>
      <c r="G40" s="46">
        <f>F40/'Constants and Properties'!$D$21*100</f>
        <v>96.874398996853628</v>
      </c>
      <c r="H40" s="18">
        <f>'Constants and Properties'!$H$4/397.3*AVERAGE($B$21:$C$21)*1/24*1000000*'Constants and Properties'!$E$4*(H12-I12)/1000</f>
        <v>875.72377242731761</v>
      </c>
      <c r="I40" s="46">
        <f>H40/'Constants and Properties'!$E$21*100</f>
        <v>96.271726997289107</v>
      </c>
    </row>
    <row r="41" spans="1:25" ht="21" x14ac:dyDescent="0.25">
      <c r="A41" s="17">
        <v>9</v>
      </c>
      <c r="B41" s="18">
        <f>'Constants and Properties'!$H$4/397.3*AVERAGE($B$21:$C$21)*1/24*1000000*'Constants and Properties'!$E$4*(B13-C13)/1000</f>
        <v>678.33344089629429</v>
      </c>
      <c r="C41" s="46">
        <f>B41/'Constants and Properties'!$B$21*100</f>
        <v>96.408691708242273</v>
      </c>
      <c r="D41" s="18">
        <f>'Constants and Properties'!$H$4/397.3*AVERAGE($B$21:$C$21)*1/24*1000000*'Constants and Properties'!$E$4*(D13-E13)/1000</f>
        <v>941.52054960432542</v>
      </c>
      <c r="E41" s="40">
        <f>D41/'Constants and Properties'!$C$21*100</f>
        <v>101.46662956582639</v>
      </c>
      <c r="F41" s="18">
        <f>'Constants and Properties'!$H$4/397.3*AVERAGE($B$21:$C$21)*1/24*1000000*'Constants and Properties'!$E$4*(F13-G13)/1000</f>
        <v>935.25418987318187</v>
      </c>
      <c r="G41" s="46">
        <f>F41/'Constants and Properties'!$D$21*100</f>
        <v>99.200713895577394</v>
      </c>
      <c r="H41" s="18">
        <f>'Constants and Properties'!$H$4/397.3*AVERAGE($B$21:$C$21)*1/24*1000000*'Constants and Properties'!$E$4*(H13-I13)/1000</f>
        <v>814.62676504866749</v>
      </c>
      <c r="I41" s="46">
        <f>H41/'Constants and Properties'!$E$21*100</f>
        <v>89.555094881199167</v>
      </c>
      <c r="W41" s="45"/>
      <c r="X41" s="45"/>
      <c r="Y41" s="45"/>
    </row>
    <row r="42" spans="1:25" ht="21.75" thickBot="1" x14ac:dyDescent="0.3">
      <c r="A42" s="22">
        <v>10</v>
      </c>
      <c r="B42" s="23">
        <f>'Constants and Properties'!$H$4/397.3*AVERAGE($B$27:$C$27)*1/24*1000000*'Constants and Properties'!$E$4*(B9-C9)/1000</f>
        <v>799.51207328975181</v>
      </c>
      <c r="C42" s="46">
        <f>B42/'Constants and Properties'!$B$21*100</f>
        <v>113.63130334391623</v>
      </c>
      <c r="D42" s="23">
        <f>'Constants and Properties'!$H$4/397.3*AVERAGE($B$27:$C$27)*1/24*1000000*'Constants and Properties'!$E$4*(D9-E9)/1000</f>
        <v>1033.3401262203879</v>
      </c>
      <c r="E42" s="40">
        <f>D42/'Constants and Properties'!$C$21*100</f>
        <v>111.36192390784404</v>
      </c>
      <c r="F42" s="23">
        <f>'Constants and Properties'!$H$4/397.3*AVERAGE($B$27:$C$27)*1/24*1000000*'Constants and Properties'!$E$4*(F9-G9)/1000</f>
        <v>1028.8434328947988</v>
      </c>
      <c r="G42" s="42">
        <f>F42/'Constants and Properties'!$D$21*100</f>
        <v>109.12755498457587</v>
      </c>
      <c r="H42" s="23">
        <f>'Constants and Properties'!$H$4/397.3*AVERAGE($B$27:$C$27)*1/24*1000000*'Constants and Properties'!$E$4*(H9-I9)/1000</f>
        <v>1002.7626116063818</v>
      </c>
      <c r="I42" s="42">
        <f>H42/'Constants and Properties'!$E$21*100</f>
        <v>110.23760165842771</v>
      </c>
      <c r="W42" s="45"/>
      <c r="X42" s="45"/>
    </row>
    <row r="43" spans="1:25" ht="16.5" thickTop="1" x14ac:dyDescent="0.25">
      <c r="C43" s="38"/>
      <c r="E43" s="38"/>
      <c r="I43" s="38"/>
    </row>
  </sheetData>
  <mergeCells count="19">
    <mergeCell ref="B31:C31"/>
    <mergeCell ref="D31:E31"/>
    <mergeCell ref="F31:G31"/>
    <mergeCell ref="H31:I31"/>
    <mergeCell ref="A30:I30"/>
    <mergeCell ref="A2:I2"/>
    <mergeCell ref="A1:I1"/>
    <mergeCell ref="K3:M3"/>
    <mergeCell ref="K4:M5"/>
    <mergeCell ref="F17:H17"/>
    <mergeCell ref="E16:Q16"/>
    <mergeCell ref="I17:K17"/>
    <mergeCell ref="O17:Q17"/>
    <mergeCell ref="L17:N17"/>
    <mergeCell ref="A16:C16"/>
    <mergeCell ref="H3:I3"/>
    <mergeCell ref="B3:C3"/>
    <mergeCell ref="D3:E3"/>
    <mergeCell ref="F3:G3"/>
  </mergeCells>
  <conditionalFormatting sqref="H19">
    <cfRule type="expression" dxfId="2" priority="4">
      <formula>AND(H19 &gt;= F19 * 0.95,  H19 &lt;= F19 * 1.05)</formula>
    </cfRule>
  </conditionalFormatting>
  <conditionalFormatting sqref="H28">
    <cfRule type="expression" dxfId="1" priority="2">
      <formula>AND(H28 &gt;= F28 * 0.95,  H28 &lt;= F28 * 1.05)</formula>
    </cfRule>
  </conditionalFormatting>
  <conditionalFormatting sqref="K19">
    <cfRule type="expression" dxfId="0" priority="1">
      <formula>AND( K19 &gt;= I19 * 0.95,  K19 &lt;= I19 * 1.05)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312A-0798-4127-83F6-864ACC03596E}">
  <dimension ref="A1:K39"/>
  <sheetViews>
    <sheetView tabSelected="1" topLeftCell="A15" zoomScale="105" zoomScaleNormal="105" workbookViewId="0">
      <selection activeCell="B39" sqref="B39"/>
    </sheetView>
  </sheetViews>
  <sheetFormatPr defaultRowHeight="15" x14ac:dyDescent="0.25"/>
  <cols>
    <col min="1" max="1" width="23.140625" bestFit="1" customWidth="1"/>
    <col min="2" max="2" width="21" customWidth="1"/>
    <col min="3" max="3" width="21.7109375" bestFit="1" customWidth="1"/>
    <col min="4" max="4" width="23.85546875" customWidth="1"/>
    <col min="5" max="5" width="24" bestFit="1" customWidth="1"/>
    <col min="6" max="6" width="31.5703125" customWidth="1"/>
    <col min="7" max="7" width="11.85546875" bestFit="1" customWidth="1"/>
    <col min="8" max="8" width="19.28515625" customWidth="1"/>
    <col min="9" max="9" width="15.85546875" customWidth="1"/>
    <col min="10" max="10" width="15" customWidth="1"/>
  </cols>
  <sheetData>
    <row r="1" spans="1:10" ht="34.5" customHeight="1" thickBot="1" x14ac:dyDescent="0.3">
      <c r="A1" s="62" t="s">
        <v>50</v>
      </c>
      <c r="B1" s="62"/>
      <c r="C1" s="62"/>
      <c r="D1" s="62"/>
      <c r="E1" s="62"/>
      <c r="F1" s="62"/>
      <c r="G1" s="62"/>
      <c r="H1" s="63"/>
      <c r="I1" s="7"/>
      <c r="J1" s="6"/>
    </row>
    <row r="2" spans="1:10" ht="32.25" thickTop="1" x14ac:dyDescent="0.5">
      <c r="A2" s="64" t="s">
        <v>37</v>
      </c>
      <c r="B2" s="64"/>
      <c r="C2" s="64"/>
      <c r="D2" s="5"/>
    </row>
    <row r="3" spans="1:10" ht="21" x14ac:dyDescent="0.35">
      <c r="A3" s="2" t="s">
        <v>23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15</v>
      </c>
      <c r="H3" s="3" t="s">
        <v>14</v>
      </c>
      <c r="I3" s="2"/>
    </row>
    <row r="4" spans="1:10" ht="21" x14ac:dyDescent="0.35">
      <c r="A4" s="2" t="s">
        <v>8</v>
      </c>
      <c r="B4" s="4">
        <v>2.325E-2</v>
      </c>
      <c r="C4" s="2">
        <v>0.24</v>
      </c>
      <c r="D4" s="2">
        <f t="shared" ref="D4:D17" si="0">B4*C4</f>
        <v>5.5799999999999999E-3</v>
      </c>
      <c r="E4" s="3">
        <f>SUM(D4:D17)</f>
        <v>0.54368230000000017</v>
      </c>
      <c r="F4" s="2">
        <v>28</v>
      </c>
      <c r="G4" s="2">
        <f>'Constants and Properties'!B4*F4</f>
        <v>0.65100000000000002</v>
      </c>
      <c r="H4" s="3">
        <f>SUM(G4:G17)</f>
        <v>25.439946179999996</v>
      </c>
      <c r="I4" s="2"/>
    </row>
    <row r="5" spans="1:10" ht="21" x14ac:dyDescent="0.35">
      <c r="A5" s="2" t="s">
        <v>24</v>
      </c>
      <c r="B5" s="4">
        <v>0.60041999999999995</v>
      </c>
      <c r="C5" s="2">
        <v>0.55200000000000005</v>
      </c>
      <c r="D5" s="2">
        <f t="shared" si="0"/>
        <v>0.33143183999999998</v>
      </c>
      <c r="E5" s="2"/>
      <c r="F5" s="2">
        <v>16.05</v>
      </c>
      <c r="G5" s="2">
        <f>'Constants and Properties'!B5*F5</f>
        <v>9.6367409999999989</v>
      </c>
      <c r="H5" s="2"/>
      <c r="I5" s="2"/>
    </row>
    <row r="6" spans="1:10" ht="21" x14ac:dyDescent="0.35">
      <c r="A6" s="2" t="s">
        <v>25</v>
      </c>
      <c r="B6" s="4">
        <v>1.106E-2</v>
      </c>
      <c r="C6" s="2">
        <v>0.219</v>
      </c>
      <c r="D6" s="2">
        <f t="shared" si="0"/>
        <v>2.4221400000000001E-3</v>
      </c>
      <c r="E6" s="2"/>
      <c r="F6" s="2">
        <v>44</v>
      </c>
      <c r="G6" s="2">
        <f>'Constants and Properties'!B6*F6</f>
        <v>0.48664000000000002</v>
      </c>
      <c r="H6" s="2"/>
      <c r="I6" s="2"/>
    </row>
    <row r="7" spans="1:10" ht="21" x14ac:dyDescent="0.35">
      <c r="A7" s="2" t="s">
        <v>26</v>
      </c>
      <c r="B7" s="4">
        <v>0.19725999999999999</v>
      </c>
      <c r="C7" s="2">
        <v>0.58399999999999996</v>
      </c>
      <c r="D7" s="2">
        <f t="shared" si="0"/>
        <v>0.11519983999999998</v>
      </c>
      <c r="E7" s="2"/>
      <c r="F7" s="2">
        <v>30</v>
      </c>
      <c r="G7" s="2">
        <f>'Constants and Properties'!B7*F7</f>
        <v>5.9177999999999997</v>
      </c>
      <c r="H7" s="2"/>
      <c r="I7" s="2"/>
    </row>
    <row r="8" spans="1:10" ht="21" x14ac:dyDescent="0.35">
      <c r="A8" s="2" t="s">
        <v>27</v>
      </c>
      <c r="B8" s="4">
        <v>9.9540000000000003E-2</v>
      </c>
      <c r="C8" s="2">
        <v>0.53300000000000003</v>
      </c>
      <c r="D8" s="2">
        <f t="shared" si="0"/>
        <v>5.3054820000000003E-2</v>
      </c>
      <c r="E8" s="2"/>
      <c r="F8" s="2">
        <v>44.1</v>
      </c>
      <c r="G8" s="2">
        <f>'Constants and Properties'!B8*F8</f>
        <v>4.3897140000000006</v>
      </c>
      <c r="H8" s="2"/>
      <c r="I8" s="2"/>
    </row>
    <row r="9" spans="1:10" ht="21" x14ac:dyDescent="0.35">
      <c r="A9" s="2" t="s">
        <v>29</v>
      </c>
      <c r="B9" s="4">
        <v>1.141E-2</v>
      </c>
      <c r="C9" s="2">
        <v>0.53500000000000003</v>
      </c>
      <c r="D9" s="2">
        <f t="shared" si="0"/>
        <v>6.1043500000000006E-3</v>
      </c>
      <c r="E9" s="2"/>
      <c r="F9" s="2">
        <v>58.124000000000002</v>
      </c>
      <c r="G9" s="2">
        <f>'Constants and Properties'!B9*F9</f>
        <v>0.66319484000000006</v>
      </c>
      <c r="H9" s="2"/>
      <c r="I9" s="2"/>
    </row>
    <row r="10" spans="1:10" ht="21" x14ac:dyDescent="0.35">
      <c r="A10" s="2" t="s">
        <v>30</v>
      </c>
      <c r="B10" s="4">
        <v>3.5069999999999997E-2</v>
      </c>
      <c r="C10" s="2">
        <v>0.51800000000000002</v>
      </c>
      <c r="D10" s="2">
        <f t="shared" si="0"/>
        <v>1.816626E-2</v>
      </c>
      <c r="E10" s="2"/>
      <c r="F10" s="2">
        <v>58.124000000000002</v>
      </c>
      <c r="G10" s="2">
        <f>'Constants and Properties'!B10*F10</f>
        <v>2.0384086799999999</v>
      </c>
      <c r="H10" s="2"/>
      <c r="I10" s="2"/>
    </row>
    <row r="11" spans="1:10" ht="21" x14ac:dyDescent="0.35">
      <c r="A11" s="2" t="s">
        <v>31</v>
      </c>
      <c r="B11" s="4">
        <v>7.1000000000000004E-3</v>
      </c>
      <c r="C11" s="2">
        <v>0.56699999999999995</v>
      </c>
      <c r="D11" s="2">
        <f t="shared" si="0"/>
        <v>4.0257000000000001E-3</v>
      </c>
      <c r="E11" s="2"/>
      <c r="F11" s="2">
        <v>72.150999999999996</v>
      </c>
      <c r="G11" s="2">
        <f>'Constants and Properties'!B11*F11</f>
        <v>0.51227210000000001</v>
      </c>
      <c r="H11" s="2"/>
      <c r="I11" s="2"/>
    </row>
    <row r="12" spans="1:10" ht="21" x14ac:dyDescent="0.35">
      <c r="A12" s="2" t="s">
        <v>32</v>
      </c>
      <c r="B12" s="4">
        <v>1.0919999999999999E-2</v>
      </c>
      <c r="C12" s="2">
        <v>0.52200000000000002</v>
      </c>
      <c r="D12" s="2">
        <f t="shared" si="0"/>
        <v>5.7002399999999996E-3</v>
      </c>
      <c r="E12" s="2"/>
      <c r="F12" s="2">
        <v>72.150999999999996</v>
      </c>
      <c r="G12" s="2">
        <f>'Constants and Properties'!B12*F12</f>
        <v>0.78788891999999988</v>
      </c>
      <c r="H12" s="2"/>
      <c r="I12" s="2"/>
    </row>
    <row r="13" spans="1:10" ht="21" x14ac:dyDescent="0.35">
      <c r="A13" s="2" t="s">
        <v>28</v>
      </c>
      <c r="B13" s="4">
        <v>3.0899999999999999E-3</v>
      </c>
      <c r="C13" s="2">
        <v>0.505</v>
      </c>
      <c r="D13" s="2">
        <f t="shared" si="0"/>
        <v>1.5604499999999999E-3</v>
      </c>
      <c r="E13" s="2"/>
      <c r="F13" s="2">
        <v>86.18</v>
      </c>
      <c r="G13" s="2">
        <f>'Constants and Properties'!B13*F13</f>
        <v>0.26629619999999998</v>
      </c>
      <c r="H13" s="2"/>
      <c r="I13" s="2"/>
    </row>
    <row r="14" spans="1:10" ht="21" x14ac:dyDescent="0.35">
      <c r="A14" s="2" t="s">
        <v>33</v>
      </c>
      <c r="B14" s="4">
        <v>7.5000000000000002E-4</v>
      </c>
      <c r="C14" s="2">
        <v>0.497</v>
      </c>
      <c r="D14" s="2">
        <f t="shared" si="0"/>
        <v>3.7274999999999998E-4</v>
      </c>
      <c r="E14" s="2"/>
      <c r="F14" s="2">
        <v>100</v>
      </c>
      <c r="G14" s="2">
        <f>'Constants and Properties'!B14*F14</f>
        <v>7.4999999999999997E-2</v>
      </c>
      <c r="H14" s="2"/>
      <c r="I14" s="2"/>
    </row>
    <row r="15" spans="1:10" ht="21" x14ac:dyDescent="0.35">
      <c r="A15" s="2" t="s">
        <v>34</v>
      </c>
      <c r="B15" s="4">
        <v>1.2E-4</v>
      </c>
      <c r="C15" s="2">
        <v>0.49199999999999999</v>
      </c>
      <c r="D15" s="2">
        <f t="shared" si="0"/>
        <v>5.9040000000000004E-5</v>
      </c>
      <c r="E15" s="2"/>
      <c r="F15" s="2">
        <v>114.232</v>
      </c>
      <c r="G15" s="2">
        <f>'Constants and Properties'!B15*F15</f>
        <v>1.3707840000000001E-2</v>
      </c>
      <c r="H15" s="2"/>
      <c r="I15" s="2"/>
    </row>
    <row r="16" spans="1:10" ht="21" x14ac:dyDescent="0.35">
      <c r="A16" s="2" t="s">
        <v>35</v>
      </c>
      <c r="B16" s="4">
        <v>1.0000000000000001E-5</v>
      </c>
      <c r="C16" s="2">
        <v>0.48699999999999999</v>
      </c>
      <c r="D16" s="2">
        <f t="shared" si="0"/>
        <v>4.87E-6</v>
      </c>
      <c r="E16" s="2"/>
      <c r="F16" s="2">
        <v>128.26</v>
      </c>
      <c r="G16" s="2">
        <f>'Constants and Properties'!B16*F16</f>
        <v>1.2826000000000001E-3</v>
      </c>
      <c r="H16" s="2"/>
      <c r="I16" s="2"/>
    </row>
    <row r="17" spans="1:11" ht="21" x14ac:dyDescent="0.35">
      <c r="A17" s="2" t="s">
        <v>36</v>
      </c>
      <c r="B17" s="2">
        <v>0</v>
      </c>
      <c r="C17" s="2">
        <v>0.48299999999999998</v>
      </c>
      <c r="D17" s="2">
        <f t="shared" si="0"/>
        <v>0</v>
      </c>
      <c r="E17" s="2"/>
      <c r="F17" s="2">
        <v>142</v>
      </c>
      <c r="G17" s="2">
        <f>'Constants and Properties'!B17*F17</f>
        <v>0</v>
      </c>
      <c r="H17" s="2"/>
      <c r="I17" s="2"/>
    </row>
    <row r="19" spans="1:11" ht="31.5" x14ac:dyDescent="0.5">
      <c r="A19" s="61" t="s">
        <v>53</v>
      </c>
      <c r="B19" s="61"/>
      <c r="C19" s="61"/>
      <c r="D19" s="61"/>
      <c r="E19" s="61"/>
      <c r="F19" s="1"/>
      <c r="G19" s="1"/>
    </row>
    <row r="20" spans="1:11" ht="21" x14ac:dyDescent="0.35">
      <c r="A20" s="2" t="s">
        <v>7</v>
      </c>
      <c r="B20" s="2" t="s">
        <v>1</v>
      </c>
      <c r="C20" s="2" t="s">
        <v>2</v>
      </c>
      <c r="D20" s="2" t="s">
        <v>3</v>
      </c>
      <c r="E20" s="2" t="s">
        <v>4</v>
      </c>
      <c r="F20" s="2"/>
      <c r="G20" s="2"/>
    </row>
    <row r="21" spans="1:11" ht="21" x14ac:dyDescent="0.35">
      <c r="A21" s="2" t="s">
        <v>51</v>
      </c>
      <c r="B21" s="2">
        <f>AVERAGE('Cooler Parameter Input'!B33:B42)</f>
        <v>703.60195629363727</v>
      </c>
      <c r="C21" s="2">
        <f>AVERAGE('Cooler Parameter Input'!D33:D42)</f>
        <v>927.91152483636472</v>
      </c>
      <c r="D21" s="2">
        <f>AVERAGE('Cooler Parameter Input'!F33:F42)</f>
        <v>942.78977755912877</v>
      </c>
      <c r="E21" s="2">
        <f>AVERAGE('Cooler Parameter Input'!H33:H42)</f>
        <v>909.63754337966418</v>
      </c>
      <c r="F21" s="2"/>
      <c r="G21" s="2"/>
    </row>
    <row r="22" spans="1:11" ht="21" x14ac:dyDescent="0.35">
      <c r="A22" s="2"/>
      <c r="B22" s="2"/>
      <c r="C22" s="2"/>
      <c r="D22" s="2"/>
      <c r="E22" s="2"/>
      <c r="F22" s="2"/>
      <c r="G22" s="2"/>
    </row>
    <row r="23" spans="1:11" ht="31.5" x14ac:dyDescent="0.5">
      <c r="A23" s="61" t="s">
        <v>46</v>
      </c>
      <c r="B23" s="61"/>
      <c r="C23" s="61"/>
      <c r="D23" s="61"/>
      <c r="E23" s="61"/>
      <c r="F23" s="61"/>
      <c r="G23" s="61"/>
      <c r="H23" s="61"/>
      <c r="I23" s="61"/>
      <c r="J23" s="61"/>
    </row>
    <row r="24" spans="1:11" ht="21" x14ac:dyDescent="0.35">
      <c r="A24" s="2" t="s">
        <v>0</v>
      </c>
      <c r="B24" s="65" t="s">
        <v>1</v>
      </c>
      <c r="C24" s="65"/>
      <c r="D24" s="65" t="s">
        <v>2</v>
      </c>
      <c r="E24" s="65"/>
      <c r="F24" s="65" t="s">
        <v>3</v>
      </c>
      <c r="G24" s="65"/>
      <c r="H24" s="65" t="s">
        <v>18</v>
      </c>
      <c r="I24" s="65"/>
      <c r="J24" s="2" t="s">
        <v>49</v>
      </c>
      <c r="K24" s="2"/>
    </row>
    <row r="25" spans="1:11" ht="21" x14ac:dyDescent="0.35">
      <c r="A25" s="1"/>
      <c r="B25" s="2" t="s">
        <v>5</v>
      </c>
      <c r="C25" s="2" t="s">
        <v>6</v>
      </c>
      <c r="D25" s="2" t="s">
        <v>5</v>
      </c>
      <c r="E25" s="2" t="s">
        <v>6</v>
      </c>
      <c r="F25" s="2" t="s">
        <v>5</v>
      </c>
      <c r="G25" s="2" t="s">
        <v>6</v>
      </c>
      <c r="H25" s="2" t="s">
        <v>5</v>
      </c>
      <c r="I25" s="2" t="s">
        <v>6</v>
      </c>
      <c r="J25" s="2" t="s">
        <v>45</v>
      </c>
    </row>
    <row r="26" spans="1:11" ht="21" x14ac:dyDescent="0.35">
      <c r="A26" s="2">
        <v>1</v>
      </c>
      <c r="B26" s="2">
        <v>792108</v>
      </c>
      <c r="C26" s="2">
        <v>792112</v>
      </c>
      <c r="D26" s="2">
        <v>792109</v>
      </c>
      <c r="E26" s="2">
        <v>792113</v>
      </c>
      <c r="F26" s="2">
        <v>792110</v>
      </c>
      <c r="G26" s="2">
        <v>792114</v>
      </c>
      <c r="H26" s="2">
        <v>792111</v>
      </c>
      <c r="I26" s="2">
        <v>792115</v>
      </c>
      <c r="J26" s="2">
        <v>792120</v>
      </c>
    </row>
    <row r="27" spans="1:11" ht="21" x14ac:dyDescent="0.35">
      <c r="A27" s="2">
        <v>2</v>
      </c>
      <c r="B27" s="2">
        <v>792208</v>
      </c>
      <c r="C27" s="2">
        <v>792212</v>
      </c>
      <c r="D27" s="2">
        <v>792209</v>
      </c>
      <c r="E27" s="2">
        <v>792213</v>
      </c>
      <c r="F27" s="2">
        <v>792210</v>
      </c>
      <c r="G27" s="2">
        <v>792214</v>
      </c>
      <c r="H27" s="2">
        <v>792211</v>
      </c>
      <c r="I27" s="2">
        <v>792215</v>
      </c>
      <c r="J27" s="2">
        <v>792220</v>
      </c>
    </row>
    <row r="28" spans="1:11" ht="21" x14ac:dyDescent="0.35">
      <c r="A28" s="2">
        <v>3</v>
      </c>
      <c r="B28" s="2" t="s">
        <v>47</v>
      </c>
      <c r="C28" s="2" t="s">
        <v>47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</row>
    <row r="29" spans="1:11" ht="21" x14ac:dyDescent="0.35">
      <c r="A29" s="2">
        <v>4</v>
      </c>
      <c r="B29" s="2" t="s">
        <v>47</v>
      </c>
      <c r="C29" s="2" t="s">
        <v>47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</row>
    <row r="30" spans="1:11" ht="21" x14ac:dyDescent="0.35">
      <c r="A30" s="2">
        <v>5</v>
      </c>
      <c r="B30" s="2" t="s">
        <v>47</v>
      </c>
      <c r="C30" s="2" t="s">
        <v>47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</row>
    <row r="31" spans="1:11" ht="21" x14ac:dyDescent="0.35">
      <c r="A31" s="2">
        <v>6</v>
      </c>
      <c r="B31" s="2" t="s">
        <v>47</v>
      </c>
      <c r="C31" s="2" t="s">
        <v>47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</row>
    <row r="32" spans="1:11" ht="21" x14ac:dyDescent="0.35">
      <c r="A32" s="2">
        <v>7</v>
      </c>
      <c r="B32" s="2" t="s">
        <v>47</v>
      </c>
      <c r="C32" s="2" t="s">
        <v>47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</row>
    <row r="33" spans="1:10" ht="21" x14ac:dyDescent="0.35">
      <c r="A33" s="2">
        <v>8</v>
      </c>
      <c r="B33" s="2" t="s">
        <v>48</v>
      </c>
      <c r="C33" s="2" t="s">
        <v>48</v>
      </c>
      <c r="D33" s="2" t="s">
        <v>48</v>
      </c>
      <c r="E33" s="2" t="s">
        <v>48</v>
      </c>
      <c r="F33" s="2" t="s">
        <v>48</v>
      </c>
      <c r="G33" s="2" t="s">
        <v>48</v>
      </c>
      <c r="H33" s="2" t="s">
        <v>48</v>
      </c>
      <c r="I33" s="2" t="s">
        <v>48</v>
      </c>
      <c r="J33" s="2" t="s">
        <v>48</v>
      </c>
    </row>
    <row r="34" spans="1:10" ht="21" x14ac:dyDescent="0.35">
      <c r="A34" s="2">
        <v>9</v>
      </c>
      <c r="B34" s="2">
        <v>792908</v>
      </c>
      <c r="C34" s="2">
        <v>792912</v>
      </c>
      <c r="D34" s="2">
        <v>792909</v>
      </c>
      <c r="E34" s="2">
        <v>792913</v>
      </c>
      <c r="F34" s="2">
        <v>792910</v>
      </c>
      <c r="G34" s="2">
        <v>792914</v>
      </c>
      <c r="H34" s="2">
        <v>792911</v>
      </c>
      <c r="I34" s="2">
        <v>792915</v>
      </c>
      <c r="J34" s="2">
        <v>792920</v>
      </c>
    </row>
    <row r="35" spans="1:10" ht="21" x14ac:dyDescent="0.35">
      <c r="A35" s="2">
        <v>10</v>
      </c>
      <c r="B35" s="2">
        <v>792008</v>
      </c>
      <c r="C35" s="2">
        <v>792012</v>
      </c>
      <c r="D35" s="2">
        <v>792009</v>
      </c>
      <c r="E35" s="2">
        <v>792013</v>
      </c>
      <c r="F35" s="2">
        <v>792010</v>
      </c>
      <c r="G35" s="2">
        <v>792014</v>
      </c>
      <c r="H35" s="2">
        <v>792011</v>
      </c>
      <c r="I35" s="2">
        <v>792015</v>
      </c>
      <c r="J35" s="2">
        <v>792020</v>
      </c>
    </row>
    <row r="37" spans="1:10" ht="31.5" x14ac:dyDescent="0.5">
      <c r="A37" s="61" t="s">
        <v>52</v>
      </c>
      <c r="B37" s="61"/>
      <c r="C37" s="61"/>
      <c r="D37" s="61"/>
      <c r="E37" s="61"/>
    </row>
    <row r="38" spans="1:10" ht="21" x14ac:dyDescent="0.35">
      <c r="A38" s="2" t="s">
        <v>7</v>
      </c>
      <c r="B38" s="2" t="s">
        <v>1</v>
      </c>
      <c r="C38" s="2" t="s">
        <v>2</v>
      </c>
      <c r="D38" s="2" t="s">
        <v>3</v>
      </c>
      <c r="E38" s="2" t="s">
        <v>4</v>
      </c>
    </row>
    <row r="39" spans="1:10" ht="21" x14ac:dyDescent="0.35">
      <c r="A39" s="2" t="s">
        <v>51</v>
      </c>
      <c r="B39" s="2">
        <v>935.2</v>
      </c>
      <c r="C39" s="2">
        <v>1663.6</v>
      </c>
      <c r="D39" s="2">
        <v>1831.6</v>
      </c>
      <c r="E39" s="2">
        <v>2187.3000000000002</v>
      </c>
    </row>
  </sheetData>
  <mergeCells count="9">
    <mergeCell ref="A37:E37"/>
    <mergeCell ref="A19:E19"/>
    <mergeCell ref="A23:J23"/>
    <mergeCell ref="A1:H1"/>
    <mergeCell ref="A2:C2"/>
    <mergeCell ref="B24:C24"/>
    <mergeCell ref="D24:E24"/>
    <mergeCell ref="F24:G24"/>
    <mergeCell ref="H24:I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41BF-EB8C-4998-BF76-39087DF1CBD6}">
  <dimension ref="A1:BG4"/>
  <sheetViews>
    <sheetView topLeftCell="A3" workbookViewId="0">
      <selection sqref="A1:XFD1048576"/>
    </sheetView>
  </sheetViews>
  <sheetFormatPr defaultRowHeight="15" x14ac:dyDescent="0.25"/>
  <cols>
    <col min="1" max="1" width="23.28515625" customWidth="1"/>
    <col min="2" max="2" width="27.42578125" customWidth="1"/>
    <col min="3" max="3" width="12" customWidth="1"/>
    <col min="4" max="4" width="15.42578125" customWidth="1"/>
    <col min="5" max="5" width="20.7109375" customWidth="1"/>
    <col min="7" max="7" width="27.42578125" customWidth="1"/>
    <col min="8" max="8" width="13.42578125" customWidth="1"/>
    <col min="10" max="10" width="12.28515625" customWidth="1"/>
    <col min="13" max="13" width="23.5703125" customWidth="1"/>
  </cols>
  <sheetData>
    <row r="1" spans="1:59" x14ac:dyDescent="0.25">
      <c r="A1" t="s">
        <v>54</v>
      </c>
      <c r="B1" t="s">
        <v>1</v>
      </c>
      <c r="C1" t="s">
        <v>2</v>
      </c>
      <c r="D1" t="s">
        <v>3</v>
      </c>
      <c r="E1" t="s">
        <v>55</v>
      </c>
      <c r="G1" t="s">
        <v>56</v>
      </c>
      <c r="H1" t="s">
        <v>1</v>
      </c>
      <c r="I1" t="s">
        <v>2</v>
      </c>
      <c r="J1" t="s">
        <v>3</v>
      </c>
      <c r="K1" t="s">
        <v>55</v>
      </c>
      <c r="M1" t="s">
        <v>57</v>
      </c>
      <c r="N1" t="s">
        <v>1</v>
      </c>
      <c r="O1" t="s">
        <v>2</v>
      </c>
      <c r="P1" t="s">
        <v>3</v>
      </c>
      <c r="Q1" t="s">
        <v>55</v>
      </c>
      <c r="S1" t="s">
        <v>58</v>
      </c>
      <c r="T1" t="s">
        <v>1</v>
      </c>
      <c r="U1" t="s">
        <v>2</v>
      </c>
      <c r="V1" t="s">
        <v>3</v>
      </c>
      <c r="W1" t="s">
        <v>55</v>
      </c>
      <c r="Y1" t="s">
        <v>59</v>
      </c>
      <c r="Z1" t="s">
        <v>1</v>
      </c>
      <c r="AA1" t="s">
        <v>2</v>
      </c>
      <c r="AB1" t="s">
        <v>3</v>
      </c>
      <c r="AC1" t="s">
        <v>55</v>
      </c>
      <c r="AE1" t="s">
        <v>60</v>
      </c>
      <c r="AF1" t="s">
        <v>1</v>
      </c>
      <c r="AG1" t="s">
        <v>2</v>
      </c>
      <c r="AH1" t="s">
        <v>3</v>
      </c>
      <c r="AI1" t="s">
        <v>55</v>
      </c>
      <c r="AK1" t="s">
        <v>61</v>
      </c>
      <c r="AL1" t="s">
        <v>1</v>
      </c>
      <c r="AM1" t="s">
        <v>2</v>
      </c>
      <c r="AN1" t="s">
        <v>3</v>
      </c>
      <c r="AO1" t="s">
        <v>55</v>
      </c>
      <c r="AQ1" t="s">
        <v>62</v>
      </c>
      <c r="AR1" t="s">
        <v>1</v>
      </c>
      <c r="AS1" t="s">
        <v>2</v>
      </c>
      <c r="AT1" t="s">
        <v>3</v>
      </c>
      <c r="AU1" t="s">
        <v>55</v>
      </c>
      <c r="AW1" t="s">
        <v>63</v>
      </c>
      <c r="AX1" t="s">
        <v>1</v>
      </c>
      <c r="AY1" t="s">
        <v>2</v>
      </c>
      <c r="AZ1" t="s">
        <v>3</v>
      </c>
      <c r="BA1" t="s">
        <v>55</v>
      </c>
      <c r="BC1" t="s">
        <v>64</v>
      </c>
      <c r="BD1" t="s">
        <v>1</v>
      </c>
      <c r="BE1" t="s">
        <v>2</v>
      </c>
      <c r="BF1" t="s">
        <v>3</v>
      </c>
      <c r="BG1" t="s">
        <v>55</v>
      </c>
    </row>
    <row r="2" spans="1:59" x14ac:dyDescent="0.25">
      <c r="A2" t="s">
        <v>65</v>
      </c>
      <c r="B2" t="s">
        <v>16</v>
      </c>
      <c r="C2" t="s">
        <v>16</v>
      </c>
      <c r="D2" t="s">
        <v>16</v>
      </c>
      <c r="E2" t="s">
        <v>16</v>
      </c>
      <c r="G2" t="s">
        <v>65</v>
      </c>
      <c r="H2" t="s">
        <v>16</v>
      </c>
      <c r="I2" t="s">
        <v>16</v>
      </c>
      <c r="J2" t="s">
        <v>16</v>
      </c>
      <c r="K2" t="s">
        <v>16</v>
      </c>
      <c r="M2" t="s">
        <v>65</v>
      </c>
      <c r="N2" t="s">
        <v>16</v>
      </c>
      <c r="O2" t="s">
        <v>16</v>
      </c>
      <c r="P2" t="s">
        <v>16</v>
      </c>
      <c r="Q2" t="s">
        <v>16</v>
      </c>
      <c r="S2" t="s">
        <v>65</v>
      </c>
      <c r="T2" t="s">
        <v>16</v>
      </c>
      <c r="U2" t="s">
        <v>16</v>
      </c>
      <c r="V2" t="s">
        <v>16</v>
      </c>
      <c r="W2" t="s">
        <v>16</v>
      </c>
      <c r="Y2" t="s">
        <v>65</v>
      </c>
      <c r="Z2" t="s">
        <v>16</v>
      </c>
      <c r="AA2" t="s">
        <v>16</v>
      </c>
      <c r="AB2" t="s">
        <v>16</v>
      </c>
      <c r="AC2" t="s">
        <v>16</v>
      </c>
      <c r="AE2" t="s">
        <v>65</v>
      </c>
      <c r="AF2" t="s">
        <v>16</v>
      </c>
      <c r="AG2" t="s">
        <v>16</v>
      </c>
      <c r="AH2" t="s">
        <v>16</v>
      </c>
      <c r="AI2" t="s">
        <v>16</v>
      </c>
      <c r="AK2" t="s">
        <v>65</v>
      </c>
      <c r="AL2" t="s">
        <v>16</v>
      </c>
      <c r="AM2" t="s">
        <v>16</v>
      </c>
      <c r="AN2" t="s">
        <v>16</v>
      </c>
      <c r="AO2" t="s">
        <v>16</v>
      </c>
      <c r="AQ2" t="s">
        <v>65</v>
      </c>
      <c r="AR2" t="s">
        <v>16</v>
      </c>
      <c r="AS2" t="s">
        <v>16</v>
      </c>
      <c r="AT2" t="s">
        <v>16</v>
      </c>
      <c r="AU2" t="s">
        <v>16</v>
      </c>
      <c r="AW2" t="s">
        <v>65</v>
      </c>
      <c r="AX2" t="s">
        <v>16</v>
      </c>
      <c r="AY2" t="s">
        <v>16</v>
      </c>
      <c r="AZ2" t="s">
        <v>16</v>
      </c>
      <c r="BA2" t="s">
        <v>16</v>
      </c>
      <c r="BC2" t="s">
        <v>65</v>
      </c>
      <c r="BD2" t="s">
        <v>16</v>
      </c>
      <c r="BE2" t="s">
        <v>16</v>
      </c>
      <c r="BF2" t="s">
        <v>16</v>
      </c>
      <c r="BG2" t="s">
        <v>16</v>
      </c>
    </row>
    <row r="3" spans="1:59" x14ac:dyDescent="0.25">
      <c r="A3" s="47" t="e">
        <f>#REF!</f>
        <v>#REF!</v>
      </c>
      <c r="B3" t="e">
        <f>#REF!</f>
        <v>#REF!</v>
      </c>
      <c r="C3" t="e">
        <f>#REF!</f>
        <v>#REF!</v>
      </c>
      <c r="D3" t="e">
        <f>#REF!</f>
        <v>#REF!</v>
      </c>
      <c r="E3" t="e">
        <f>#REF!</f>
        <v>#REF!</v>
      </c>
      <c r="G3" s="47" t="e">
        <f>#REF!</f>
        <v>#REF!</v>
      </c>
      <c r="H3" t="e">
        <f>#REF!</f>
        <v>#REF!</v>
      </c>
      <c r="I3" t="e">
        <f>#REF!</f>
        <v>#REF!</v>
      </c>
      <c r="J3" t="e">
        <f>#REF!</f>
        <v>#REF!</v>
      </c>
      <c r="K3" t="e">
        <f>#REF!</f>
        <v>#REF!</v>
      </c>
      <c r="M3" s="47" t="e">
        <f>#REF!</f>
        <v>#REF!</v>
      </c>
      <c r="N3" t="e">
        <f>#REF!</f>
        <v>#REF!</v>
      </c>
      <c r="O3" t="e">
        <f>#REF!</f>
        <v>#REF!</v>
      </c>
      <c r="P3" t="e">
        <f>#REF!</f>
        <v>#REF!</v>
      </c>
      <c r="Q3" t="e">
        <f>#REF!</f>
        <v>#REF!</v>
      </c>
    </row>
    <row r="4" spans="1:59" x14ac:dyDescent="0.25">
      <c r="A4" s="4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A22D6E58-691F-4247-8D79-8F487573A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DBE195-D393-4F3E-B67E-72556B1F9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04460-b9a7-4fbc-bd99-1b9a1b497bab"/>
    <ds:schemaRef ds:uri="4de1e744-6c87-4fa8-bfcc-8ad63406cda8"/>
    <ds:schemaRef ds:uri="48992e93-457b-4bd4-bce1-44236087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0C7E8-CCAE-46F5-9CBD-AA42D7EB289C}">
  <ds:schemaRefs>
    <ds:schemaRef ds:uri="http://schemas.microsoft.com/office/2006/metadata/properties"/>
    <ds:schemaRef ds:uri="http://schemas.microsoft.com/office/infopath/2007/PartnerControls"/>
    <ds:schemaRef ds:uri="23004460-b9a7-4fbc-bd99-1b9a1b497bab"/>
    <ds:schemaRef ds:uri="4de1e744-6c87-4fa8-bfcc-8ad63406cda8"/>
  </ds:schemaRefs>
</ds:datastoreItem>
</file>

<file path=docMetadata/LabelInfo.xml><?xml version="1.0" encoding="utf-8"?>
<clbl:labelList xmlns:clbl="http://schemas.microsoft.com/office/2020/mipLabelMetadata">
  <clbl:label id="{8f12f317-2734-454e-8e5c-3941f8946c51}" enabled="0" method="" siteId="{8f12f317-2734-454e-8e5c-3941f8946c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Cooler Parameter Input</vt:lpstr>
      <vt:lpstr>Constants and Properties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2025-06-17T21:19:51Z</dcterms:created>
  <dcterms:modified xsi:type="dcterms:W3CDTF">2025-07-22T16:41:28Z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  <property fmtid="{D5CDD505-2E9C-101B-9397-08002B2CF9AE}" pid="3" name="MediaServiceImageTags">
    <vt:lpwstr/>
  </property>
</Properties>
</file>