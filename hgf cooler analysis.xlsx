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sscorp-my.sharepoint.com/personal/vishal_balaji_hess_com/Documents/hess project/proj 2 main/"/>
    </mc:Choice>
  </mc:AlternateContent>
  <xr:revisionPtr revIDLastSave="1047" documentId="8_{94334CC9-7EF2-4C66-BF7D-B10D652D9A56}" xr6:coauthVersionLast="47" xr6:coauthVersionMax="47" xr10:uidLastSave="{41CF0A2A-B95D-4C16-A55A-442939C46136}"/>
  <bookViews>
    <workbookView xWindow="-110" yWindow="-110" windowWidth="19420" windowHeight="11620" activeTab="3" xr2:uid="{686DCF1B-707D-4CC6-A34C-5312097CCA61}"/>
  </bookViews>
  <sheets>
    <sheet name="Inlet coolers (5)" sheetId="1" r:id="rId1"/>
    <sheet name="FG coolers (3)" sheetId="3" r:id="rId2"/>
    <sheet name="Refrig coolers (2)" sheetId="4" r:id="rId3"/>
    <sheet name="Constants and Properti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3" l="1"/>
  <c r="B20" i="3"/>
  <c r="E18" i="4"/>
  <c r="D17" i="4"/>
  <c r="E17" i="4" s="1"/>
  <c r="G21" i="3"/>
  <c r="E21" i="3"/>
  <c r="G20" i="3"/>
  <c r="E20" i="3"/>
  <c r="G19" i="3"/>
  <c r="E19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J23" i="1"/>
  <c r="M27" i="1"/>
  <c r="M26" i="1"/>
  <c r="M24" i="1"/>
  <c r="M25" i="1"/>
  <c r="M23" i="1"/>
  <c r="K27" i="1"/>
  <c r="K26" i="1"/>
  <c r="K24" i="1"/>
  <c r="K25" i="1"/>
  <c r="E4" i="2" l="1"/>
  <c r="H4" i="2"/>
  <c r="K23" i="1"/>
  <c r="B18" i="4" l="1"/>
  <c r="B17" i="4"/>
  <c r="C17" i="4" s="1"/>
  <c r="B19" i="3"/>
  <c r="B21" i="3"/>
  <c r="B23" i="1"/>
  <c r="B24" i="1"/>
  <c r="B25" i="1"/>
  <c r="B26" i="1"/>
  <c r="D24" i="1"/>
  <c r="H27" i="1"/>
  <c r="B27" i="1"/>
  <c r="D23" i="1"/>
  <c r="D26" i="1"/>
  <c r="C22" i="2" s="1"/>
  <c r="F23" i="1"/>
  <c r="D21" i="2" s="1"/>
  <c r="H23" i="1"/>
  <c r="E21" i="2" s="1"/>
  <c r="D25" i="1"/>
  <c r="F26" i="1"/>
  <c r="D22" i="2" s="1"/>
  <c r="F27" i="1"/>
  <c r="H24" i="1"/>
  <c r="D27" i="1"/>
  <c r="H25" i="1"/>
  <c r="F24" i="1"/>
  <c r="H26" i="1"/>
  <c r="E22" i="2" s="1"/>
  <c r="F25" i="1"/>
  <c r="B21" i="2" l="1"/>
  <c r="C25" i="1" s="1"/>
  <c r="C21" i="2"/>
  <c r="G24" i="1"/>
  <c r="B22" i="2"/>
  <c r="C26" i="1" s="1"/>
  <c r="E26" i="1"/>
  <c r="E25" i="1"/>
  <c r="G27" i="1"/>
  <c r="C27" i="1"/>
  <c r="C18" i="4"/>
  <c r="C23" i="1" l="1"/>
  <c r="C24" i="1"/>
  <c r="G26" i="1"/>
  <c r="G23" i="1"/>
  <c r="G25" i="1"/>
  <c r="E23" i="1"/>
  <c r="E27" i="1"/>
  <c r="E24" i="1"/>
  <c r="I25" i="1"/>
  <c r="C21" i="3"/>
  <c r="C20" i="3"/>
  <c r="I23" i="1"/>
  <c r="I24" i="1"/>
  <c r="I26" i="1" l="1"/>
  <c r="I27" i="1"/>
</calcChain>
</file>

<file path=xl/sharedStrings.xml><?xml version="1.0" encoding="utf-8"?>
<sst xmlns="http://schemas.openxmlformats.org/spreadsheetml/2006/main" count="284" uniqueCount="72">
  <si>
    <t>Cooler #</t>
  </si>
  <si>
    <t>IC-1</t>
  </si>
  <si>
    <t>IC-2</t>
  </si>
  <si>
    <t>IC-3</t>
  </si>
  <si>
    <t>AC</t>
  </si>
  <si>
    <t>EJW</t>
  </si>
  <si>
    <t>TAW/CLO</t>
  </si>
  <si>
    <t>T_in</t>
  </si>
  <si>
    <t>T_out</t>
  </si>
  <si>
    <t>H156-2-44</t>
  </si>
  <si>
    <t>Cooler type</t>
  </si>
  <si>
    <t>H156-3-60</t>
  </si>
  <si>
    <t>Nitrogen</t>
  </si>
  <si>
    <t>mole %</t>
  </si>
  <si>
    <t>Cp at ~200 deg F</t>
  </si>
  <si>
    <t>xi*Cp,i</t>
  </si>
  <si>
    <t>Cp,mix [BTU/lb/°F]</t>
  </si>
  <si>
    <t>Molar mass (lb/lb-mol)</t>
  </si>
  <si>
    <t>MM, mix (lb/lb-mol)</t>
  </si>
  <si>
    <t>xi*MM,i</t>
  </si>
  <si>
    <t>Duty</t>
  </si>
  <si>
    <t>Efficiency %</t>
  </si>
  <si>
    <t>AC/IC-4</t>
  </si>
  <si>
    <t>Temperatures (°F)</t>
  </si>
  <si>
    <t>Flows (MMCFD)</t>
  </si>
  <si>
    <t>Inlet Gas Today</t>
  </si>
  <si>
    <t>Total Flow Today</t>
  </si>
  <si>
    <t>Component</t>
  </si>
  <si>
    <t>Methane</t>
  </si>
  <si>
    <t>Carbon Dioxde</t>
  </si>
  <si>
    <t>Ethane</t>
  </si>
  <si>
    <t>Propane</t>
  </si>
  <si>
    <t>n-Hexane</t>
  </si>
  <si>
    <t>i-Butane</t>
  </si>
  <si>
    <t>n-Butane</t>
  </si>
  <si>
    <t>i-Pentane</t>
  </si>
  <si>
    <t>n-Pentane</t>
  </si>
  <si>
    <t>n-Heptane</t>
  </si>
  <si>
    <t>n-Octane</t>
  </si>
  <si>
    <t>n-Nonane</t>
  </si>
  <si>
    <t>n-Decane</t>
  </si>
  <si>
    <t>Gas Properties to Cooler</t>
  </si>
  <si>
    <t>Actual Duty (1000 BTU/hr)</t>
  </si>
  <si>
    <t>T Setpoint (°F) &amp; Louver Position (%)</t>
  </si>
  <si>
    <t>T Setpoint</t>
  </si>
  <si>
    <t>Louver</t>
  </si>
  <si>
    <t>TAW</t>
  </si>
  <si>
    <t>Actual T</t>
  </si>
  <si>
    <t>Date of Assess</t>
  </si>
  <si>
    <t>FIT</t>
  </si>
  <si>
    <t>-</t>
  </si>
  <si>
    <t xml:space="preserve"> |</t>
  </si>
  <si>
    <t xml:space="preserve"> V</t>
  </si>
  <si>
    <t>From Op Rounds</t>
  </si>
  <si>
    <t>HGF Inlet Cooler (5) Efficiency Calculator</t>
  </si>
  <si>
    <t>HGF Flash Gas Cooler (3) Efficiency Calculator</t>
  </si>
  <si>
    <t>Compressor discharge temp (From Op Rounds)</t>
  </si>
  <si>
    <t>Rated Duty (1000 BTU/hr) - Inlet Coolers</t>
  </si>
  <si>
    <t>Relevant Pi Tags - Inlet Coolers</t>
  </si>
  <si>
    <t>Relevant Pi Tags - FG Coolers</t>
  </si>
  <si>
    <t>H120-1-16</t>
  </si>
  <si>
    <t>Cylinder outlet temps (from operator rounds)</t>
  </si>
  <si>
    <t>HGF Refrig Cooler (2) Efficiency Calculator</t>
  </si>
  <si>
    <t>Rated Duty (1000 BTU/hr) - Refrig Coolers</t>
  </si>
  <si>
    <t>H90-1-12</t>
  </si>
  <si>
    <t>Relevant Pi Tags - Refrig Coolers</t>
  </si>
  <si>
    <t>Constants, Properties, Ratings, Pi Tags</t>
  </si>
  <si>
    <t>?</t>
  </si>
  <si>
    <t>Rated Duty (1000 BTU/hr) - Inlet Coolers - Spec Sheet</t>
  </si>
  <si>
    <t>Rated Duty (1000 BTU/hr) - FG Coolers - Spec Sheet</t>
  </si>
  <si>
    <t>Rated Duty (1000 BTU/hr) - Refrig Coolers - Spec Sheet</t>
  </si>
  <si>
    <t>Rated Duty (1000 BTU/hr) - FG Coolers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</si>
</sst>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35"/>
      <color theme="1"/>
      <name val="Aptos Narrow"/>
      <family val="2"/>
      <scheme val="minor"/>
    </font>
    <font>
      <sz val="32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1654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1E922C"/>
        <bgColor indexed="64"/>
      </patternFill>
    </fill>
    <fill>
      <patternFill patternType="solid">
        <fgColor rgb="FF4EA72E"/>
        <bgColor indexed="64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11" fontId="2" fillId="0" borderId="0" xfId="0" applyNumberFormat="1" applyFont="1"/>
    <xf numFmtId="0" fontId="3" fillId="0" borderId="0" xfId="0" applyFont="1"/>
    <xf numFmtId="0" fontId="5" fillId="2" borderId="0" xfId="0" applyFont="1" applyFill="1"/>
    <xf numFmtId="0" fontId="3" fillId="0" borderId="3" xfId="0" applyFont="1" applyBorder="1"/>
    <xf numFmtId="0" fontId="3" fillId="0" borderId="1" xfId="0" applyFont="1" applyBorder="1"/>
    <xf numFmtId="0" fontId="3" fillId="0" borderId="9" xfId="0" applyFont="1" applyBorder="1"/>
    <xf numFmtId="0" fontId="3" fillId="0" borderId="7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5" xfId="0" applyFont="1" applyBorder="1"/>
    <xf numFmtId="0" fontId="2" fillId="0" borderId="3" xfId="0" applyFont="1" applyBorder="1"/>
    <xf numFmtId="0" fontId="3" fillId="0" borderId="13" xfId="0" applyFont="1" applyBorder="1"/>
    <xf numFmtId="0" fontId="3" fillId="0" borderId="6" xfId="0" applyFont="1" applyBorder="1"/>
    <xf numFmtId="0" fontId="3" fillId="0" borderId="4" xfId="0" applyFont="1" applyBorder="1"/>
    <xf numFmtId="0" fontId="3" fillId="0" borderId="8" xfId="0" applyFont="1" applyBorder="1"/>
    <xf numFmtId="0" fontId="3" fillId="0" borderId="12" xfId="0" applyFont="1" applyBorder="1"/>
    <xf numFmtId="0" fontId="3" fillId="0" borderId="14" xfId="0" applyFont="1" applyBorder="1"/>
    <xf numFmtId="0" fontId="3" fillId="0" borderId="10" xfId="0" applyFont="1" applyBorder="1"/>
    <xf numFmtId="0" fontId="2" fillId="0" borderId="11" xfId="0" applyFont="1" applyBorder="1"/>
    <xf numFmtId="0" fontId="2" fillId="0" borderId="14" xfId="0" applyFont="1" applyBorder="1"/>
    <xf numFmtId="0" fontId="3" fillId="5" borderId="0" xfId="0" applyFont="1" applyFill="1"/>
    <xf numFmtId="0" fontId="4" fillId="0" borderId="0" xfId="0" applyFont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10" xfId="0" applyFont="1" applyFill="1" applyBorder="1"/>
    <xf numFmtId="0" fontId="5" fillId="2" borderId="12" xfId="0" applyFont="1" applyFill="1" applyBorder="1"/>
    <xf numFmtId="0" fontId="5" fillId="2" borderId="6" xfId="0" applyFont="1" applyFill="1" applyBorder="1"/>
    <xf numFmtId="9" fontId="3" fillId="0" borderId="0" xfId="0" applyNumberFormat="1" applyFont="1"/>
    <xf numFmtId="10" fontId="3" fillId="0" borderId="0" xfId="0" applyNumberFormat="1" applyFont="1"/>
    <xf numFmtId="9" fontId="3" fillId="0" borderId="3" xfId="0" applyNumberFormat="1" applyFont="1" applyBorder="1"/>
    <xf numFmtId="10" fontId="3" fillId="0" borderId="8" xfId="0" applyNumberFormat="1" applyFont="1" applyBorder="1"/>
    <xf numFmtId="0" fontId="3" fillId="0" borderId="12" xfId="0" applyFont="1" applyBorder="1" applyAlignment="1">
      <alignment horizontal="center"/>
    </xf>
    <xf numFmtId="0" fontId="3" fillId="6" borderId="0" xfId="0" applyFont="1" applyFill="1"/>
    <xf numFmtId="0" fontId="3" fillId="7" borderId="12" xfId="0" applyFont="1" applyFill="1" applyBorder="1"/>
    <xf numFmtId="0" fontId="3" fillId="7" borderId="4" xfId="0" applyFont="1" applyFill="1" applyBorder="1"/>
    <xf numFmtId="0" fontId="3" fillId="7" borderId="6" xfId="0" applyFont="1" applyFill="1" applyBorder="1"/>
    <xf numFmtId="0" fontId="3" fillId="8" borderId="13" xfId="0" applyFont="1" applyFill="1" applyBorder="1"/>
    <xf numFmtId="0" fontId="3" fillId="8" borderId="10" xfId="0" applyFont="1" applyFill="1" applyBorder="1"/>
    <xf numFmtId="0" fontId="3" fillId="8" borderId="0" xfId="0" applyFont="1" applyFill="1"/>
    <xf numFmtId="0" fontId="3" fillId="8" borderId="4" xfId="0" applyFont="1" applyFill="1" applyBorder="1"/>
    <xf numFmtId="0" fontId="3" fillId="8" borderId="8" xfId="0" applyFont="1" applyFill="1" applyBorder="1"/>
    <xf numFmtId="0" fontId="5" fillId="8" borderId="10" xfId="0" applyFont="1" applyFill="1" applyBorder="1"/>
    <xf numFmtId="0" fontId="3" fillId="8" borderId="1" xfId="0" applyFont="1" applyFill="1" applyBorder="1"/>
    <xf numFmtId="0" fontId="5" fillId="8" borderId="12" xfId="0" applyFont="1" applyFill="1" applyBorder="1"/>
    <xf numFmtId="0" fontId="3" fillId="8" borderId="2" xfId="0" applyFont="1" applyFill="1" applyBorder="1"/>
    <xf numFmtId="0" fontId="3" fillId="8" borderId="6" xfId="0" applyFont="1" applyFill="1" applyBorder="1"/>
    <xf numFmtId="0" fontId="5" fillId="8" borderId="0" xfId="0" applyFont="1" applyFill="1"/>
    <xf numFmtId="0" fontId="5" fillId="8" borderId="4" xfId="0" applyFont="1" applyFill="1" applyBorder="1"/>
    <xf numFmtId="0" fontId="3" fillId="8" borderId="5" xfId="0" applyFont="1" applyFill="1" applyBorder="1"/>
    <xf numFmtId="0" fontId="0" fillId="0" borderId="1" xfId="0" applyBorder="1"/>
    <xf numFmtId="0" fontId="4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8" xfId="0" applyFont="1" applyBorder="1"/>
    <xf numFmtId="0" fontId="2" fillId="0" borderId="1" xfId="0" applyFont="1" applyBorder="1"/>
    <xf numFmtId="9" fontId="3" fillId="0" borderId="8" xfId="0" applyNumberFormat="1" applyFont="1" applyBorder="1"/>
    <xf numFmtId="9" fontId="3" fillId="0" borderId="14" xfId="0" applyNumberFormat="1" applyFont="1" applyBorder="1"/>
    <xf numFmtId="0" fontId="5" fillId="0" borderId="0" xfId="0" applyFont="1"/>
    <xf numFmtId="0" fontId="4" fillId="0" borderId="1" xfId="0" applyFont="1" applyBorder="1"/>
    <xf numFmtId="0" fontId="3" fillId="2" borderId="6" xfId="0" applyFont="1" applyFill="1" applyBorder="1"/>
    <xf numFmtId="0" fontId="4" fillId="0" borderId="0" xfId="0" applyFont="1" applyAlignment="1">
      <alignment horizontal="center"/>
    </xf>
    <xf numFmtId="0" fontId="5" fillId="2" borderId="14" xfId="0" applyFont="1" applyFill="1" applyBorder="1"/>
    <xf numFmtId="0" fontId="3" fillId="2" borderId="3" xfId="0" applyFont="1" applyFill="1" applyBorder="1"/>
    <xf numFmtId="0" fontId="3" fillId="0" borderId="15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4" fillId="0" borderId="7" xfId="0" applyFont="1" applyBorder="1"/>
    <xf numFmtId="0" fontId="4" fillId="0" borderId="4" xfId="0" applyFont="1" applyBorder="1"/>
    <xf numFmtId="0" fontId="1" fillId="3" borderId="8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4" fontId="6" fillId="2" borderId="2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6" fillId="2" borderId="3" xfId="0" applyNumberFormat="1" applyFont="1" applyFill="1" applyBorder="1" applyAlignment="1">
      <alignment horizontal="center"/>
    </xf>
    <xf numFmtId="14" fontId="6" fillId="2" borderId="6" xfId="0" applyNumberFormat="1" applyFont="1" applyFill="1" applyBorder="1" applyAlignment="1">
      <alignment horizontal="center"/>
    </xf>
    <xf numFmtId="14" fontId="6" fillId="2" borderId="5" xfId="0" applyNumberFormat="1" applyFont="1" applyFill="1" applyBorder="1" applyAlignment="1">
      <alignment horizontal="center"/>
    </xf>
    <xf numFmtId="14" fontId="6" fillId="2" borderId="8" xfId="0" applyNumberFormat="1" applyFont="1" applyFill="1" applyBorder="1" applyAlignment="1">
      <alignment horizontal="center"/>
    </xf>
    <xf numFmtId="14" fontId="6" fillId="2" borderId="12" xfId="0" applyNumberFormat="1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FFFFFF"/>
      <color rgb="FF4EA72E"/>
      <color rgb="FF1E922C"/>
      <color rgb="FF51654B"/>
      <color rgb="FF466A54"/>
      <color rgb="FF515F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578303</xdr:colOff>
      <xdr:row>0</xdr:row>
      <xdr:rowOff>217457</xdr:rowOff>
    </xdr:from>
    <xdr:to>
      <xdr:col>16</xdr:col>
      <xdr:colOff>54495</xdr:colOff>
      <xdr:row>16</xdr:row>
      <xdr:rowOff>260118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245D82-7017-B275-DCC4-3E2E89AE8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1964" y="217457"/>
          <a:ext cx="10742454" cy="4717462"/>
        </a:xfrm>
        <a:prstGeom prst="rect">
          <a:avLst/>
        </a:prstGeom>
      </xdr:spPr>
    </xdr:pic>
    <xdr:clientData/>
  </xdr:twoCellAnchor>
  <xdr:oneCellAnchor>
    <xdr:from>
      <xdr:col>7</xdr:col>
      <xdr:colOff>926940</xdr:colOff>
      <xdr:row>4</xdr:row>
      <xdr:rowOff>65399</xdr:rowOff>
    </xdr:from>
    <xdr:ext cx="2080839" cy="6707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25558E8-A7CF-4B01-BE53-98F265E80990}"/>
                </a:ext>
              </a:extLst>
            </xdr:cNvPr>
            <xdr:cNvSpPr txBox="1"/>
          </xdr:nvSpPr>
          <xdr:spPr>
            <a:xfrm>
              <a:off x="7839071" y="1127202"/>
              <a:ext cx="2080839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𝐶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𝑝</m:t>
                        </m:r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𝑚𝑖𝑥</m:t>
                        </m:r>
                      </m:sub>
                    </m:sSub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7"/>
                          </m:r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𝑖</m:t>
                        </m:r>
                      </m:sub>
                      <m:sup/>
                      <m:e>
                        <m:sSub>
                          <m:sSubPr>
                            <m:ctrlP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𝑖</m:t>
                            </m:r>
                          </m:sub>
                        </m:sSub>
                        <m:sSub>
                          <m:sSubPr>
                            <m:ctrlP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𝑝</m:t>
                            </m:r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25558E8-A7CF-4B01-BE53-98F265E80990}"/>
                </a:ext>
              </a:extLst>
            </xdr:cNvPr>
            <xdr:cNvSpPr txBox="1"/>
          </xdr:nvSpPr>
          <xdr:spPr>
            <a:xfrm>
              <a:off x="7839071" y="1127202"/>
              <a:ext cx="2080839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𝐶_(𝑝,𝑚𝑖𝑥)=∑_𝑖▒〖𝑥_𝑖 𝐶_(𝑝,𝑖) 〗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7</xdr:col>
      <xdr:colOff>891963</xdr:colOff>
      <xdr:row>7</xdr:row>
      <xdr:rowOff>155340</xdr:rowOff>
    </xdr:from>
    <xdr:ext cx="2080839" cy="6707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905D99A-B4DB-4E57-A891-DF8C733556BD}"/>
                </a:ext>
              </a:extLst>
            </xdr:cNvPr>
            <xdr:cNvSpPr txBox="1"/>
          </xdr:nvSpPr>
          <xdr:spPr>
            <a:xfrm>
              <a:off x="7804094" y="1841733"/>
              <a:ext cx="2080839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𝑀𝑀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𝑚𝑖𝑥</m:t>
                        </m:r>
                      </m:sub>
                    </m:sSub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7"/>
                          </m:r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𝑖</m:t>
                        </m:r>
                      </m:sub>
                      <m:sup/>
                      <m:e>
                        <m:sSub>
                          <m:sSubPr>
                            <m:ctrlP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𝑖</m:t>
                            </m:r>
                          </m:sub>
                        </m:sSub>
                        <m:sSub>
                          <m:sSubPr>
                            <m:ctrlP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𝑀𝑀</m:t>
                            </m:r>
                          </m:e>
                          <m:sub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905D99A-B4DB-4E57-A891-DF8C733556BD}"/>
                </a:ext>
              </a:extLst>
            </xdr:cNvPr>
            <xdr:cNvSpPr txBox="1"/>
          </xdr:nvSpPr>
          <xdr:spPr>
            <a:xfrm>
              <a:off x="7804094" y="1841733"/>
              <a:ext cx="2080839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〖𝑀𝑀〗_𝑚𝑖𝑥=∑_𝑖▒〖𝑥_𝑖 〖𝑀𝑀〗_𝑖 〗</a:t>
              </a:r>
              <a:endParaRPr lang="en-US" sz="1800"/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141E9-A2E6-43B8-8EA8-6B3FAEE4479E}">
  <dimension ref="A1:AA42"/>
  <sheetViews>
    <sheetView zoomScale="55" zoomScaleNormal="55" workbookViewId="0">
      <selection activeCell="D59" sqref="D59:D60"/>
    </sheetView>
  </sheetViews>
  <sheetFormatPr defaultColWidth="9.1796875" defaultRowHeight="16" x14ac:dyDescent="0.4"/>
  <cols>
    <col min="1" max="1" width="33.1796875" style="1" customWidth="1"/>
    <col min="2" max="2" width="22.1796875" style="1" bestFit="1" customWidth="1"/>
    <col min="3" max="3" width="21.453125" style="1" bestFit="1" customWidth="1"/>
    <col min="4" max="4" width="12.7265625" style="1" customWidth="1"/>
    <col min="5" max="5" width="18.54296875" style="1" customWidth="1"/>
    <col min="6" max="6" width="15.54296875" style="1" customWidth="1"/>
    <col min="7" max="7" width="16.81640625" style="1" customWidth="1"/>
    <col min="8" max="8" width="13.1796875" style="1" customWidth="1"/>
    <col min="9" max="9" width="18.453125" style="1" customWidth="1"/>
    <col min="10" max="10" width="16.81640625" style="1" bestFit="1" customWidth="1"/>
    <col min="11" max="11" width="16.1796875" style="1" customWidth="1"/>
    <col min="12" max="12" width="17.54296875" style="1" customWidth="1"/>
    <col min="13" max="13" width="19.1796875" style="1" customWidth="1"/>
    <col min="14" max="14" width="14" style="1" customWidth="1"/>
    <col min="15" max="15" width="13.81640625" style="1" customWidth="1"/>
    <col min="16" max="16" width="19.7265625" style="1" customWidth="1"/>
    <col min="17" max="17" width="12.81640625" style="1" customWidth="1"/>
    <col min="18" max="21" width="9.1796875" style="1"/>
    <col min="22" max="22" width="9.26953125" style="1" bestFit="1" customWidth="1"/>
    <col min="23" max="25" width="10.1796875" style="1" bestFit="1" customWidth="1"/>
    <col min="26" max="16384" width="9.1796875" style="1"/>
  </cols>
  <sheetData>
    <row r="1" spans="1:27" customFormat="1" ht="47.5" customHeight="1" thickBot="1" x14ac:dyDescent="1.1499999999999999">
      <c r="A1" s="75" t="s">
        <v>54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</row>
    <row r="2" spans="1:27" customFormat="1" ht="32" thickTop="1" thickBot="1" x14ac:dyDescent="0.75">
      <c r="A2" s="77" t="s">
        <v>23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  <c r="N2" s="3"/>
      <c r="O2" s="77" t="s">
        <v>48</v>
      </c>
      <c r="P2" s="78"/>
      <c r="Q2" s="79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customFormat="1" ht="22" thickTop="1" thickBot="1" x14ac:dyDescent="0.55000000000000004">
      <c r="A3" s="13" t="s">
        <v>0</v>
      </c>
      <c r="B3" s="87" t="s">
        <v>1</v>
      </c>
      <c r="C3" s="88"/>
      <c r="D3" s="87" t="s">
        <v>2</v>
      </c>
      <c r="E3" s="88"/>
      <c r="F3" s="87" t="s">
        <v>3</v>
      </c>
      <c r="G3" s="83"/>
      <c r="H3" s="83" t="s">
        <v>22</v>
      </c>
      <c r="I3" s="83"/>
      <c r="J3" s="84" t="s">
        <v>5</v>
      </c>
      <c r="K3" s="85"/>
      <c r="L3" s="86" t="s">
        <v>6</v>
      </c>
      <c r="M3" s="85"/>
      <c r="N3" s="6"/>
      <c r="O3" s="89">
        <v>45834</v>
      </c>
      <c r="P3" s="90"/>
      <c r="Q3" s="90"/>
      <c r="R3" s="51"/>
    </row>
    <row r="4" spans="1:27" customFormat="1" ht="22" thickTop="1" thickBot="1" x14ac:dyDescent="0.55000000000000004">
      <c r="A4" s="20"/>
      <c r="B4" s="13" t="s">
        <v>7</v>
      </c>
      <c r="C4" s="19" t="s">
        <v>8</v>
      </c>
      <c r="D4" s="10" t="s">
        <v>7</v>
      </c>
      <c r="E4" s="14" t="s">
        <v>8</v>
      </c>
      <c r="F4" s="13" t="s">
        <v>7</v>
      </c>
      <c r="G4" s="19" t="s">
        <v>8</v>
      </c>
      <c r="H4" s="13" t="s">
        <v>7</v>
      </c>
      <c r="I4" s="19" t="s">
        <v>8</v>
      </c>
      <c r="J4" s="38" t="s">
        <v>7</v>
      </c>
      <c r="K4" s="39" t="s">
        <v>8</v>
      </c>
      <c r="L4" s="38" t="s">
        <v>7</v>
      </c>
      <c r="M4" s="39" t="s">
        <v>8</v>
      </c>
      <c r="N4" s="6"/>
      <c r="O4" s="91"/>
      <c r="P4" s="92"/>
      <c r="Q4" s="92"/>
      <c r="R4" s="51"/>
    </row>
    <row r="5" spans="1:27" ht="21.5" thickTop="1" x14ac:dyDescent="0.5">
      <c r="A5" s="8">
        <v>1</v>
      </c>
      <c r="B5" s="6">
        <v>226.33333329999999</v>
      </c>
      <c r="C5" s="5">
        <v>128.5</v>
      </c>
      <c r="D5" s="10">
        <v>204</v>
      </c>
      <c r="E5" s="14">
        <v>123.4</v>
      </c>
      <c r="F5" s="3">
        <v>216</v>
      </c>
      <c r="G5" s="14">
        <v>123.3</v>
      </c>
      <c r="H5" s="3">
        <v>220</v>
      </c>
      <c r="I5" s="14">
        <v>125.2</v>
      </c>
      <c r="J5" s="40">
        <v>181</v>
      </c>
      <c r="K5" s="41"/>
      <c r="L5" s="40"/>
      <c r="M5" s="41"/>
      <c r="N5" s="3"/>
    </row>
    <row r="6" spans="1:27" ht="21" x14ac:dyDescent="0.5">
      <c r="A6" s="8">
        <v>2</v>
      </c>
      <c r="B6" s="3">
        <v>237</v>
      </c>
      <c r="C6" s="3">
        <v>117.9</v>
      </c>
      <c r="D6" s="6">
        <v>199</v>
      </c>
      <c r="E6" s="15">
        <v>117.4</v>
      </c>
      <c r="F6" s="3">
        <v>212</v>
      </c>
      <c r="G6" s="15">
        <v>117.6</v>
      </c>
      <c r="H6" s="3">
        <v>226</v>
      </c>
      <c r="I6" s="15">
        <v>116</v>
      </c>
      <c r="J6" s="40">
        <v>181</v>
      </c>
      <c r="K6" s="41"/>
      <c r="L6" s="40"/>
      <c r="M6" s="41"/>
      <c r="N6" s="3"/>
    </row>
    <row r="7" spans="1:27" ht="21" x14ac:dyDescent="0.5">
      <c r="A7" s="8">
        <v>3</v>
      </c>
      <c r="B7" s="3">
        <v>245</v>
      </c>
      <c r="C7" s="3">
        <v>108.7</v>
      </c>
      <c r="D7" s="6">
        <v>195</v>
      </c>
      <c r="E7" s="15">
        <v>114</v>
      </c>
      <c r="F7" s="3">
        <v>207</v>
      </c>
      <c r="G7" s="15">
        <v>112.4</v>
      </c>
      <c r="H7" s="3">
        <v>219</v>
      </c>
      <c r="I7" s="15">
        <v>120.3</v>
      </c>
      <c r="J7" s="40">
        <v>181</v>
      </c>
      <c r="K7" s="41"/>
      <c r="L7" s="40"/>
      <c r="M7" s="41"/>
      <c r="N7" s="6"/>
    </row>
    <row r="8" spans="1:27" ht="21" x14ac:dyDescent="0.5">
      <c r="A8" s="8">
        <v>4</v>
      </c>
      <c r="B8" s="3">
        <v>194</v>
      </c>
      <c r="C8" s="3">
        <v>117.3</v>
      </c>
      <c r="D8" s="6">
        <v>210</v>
      </c>
      <c r="E8" s="15">
        <v>116.8</v>
      </c>
      <c r="F8" s="3">
        <v>245</v>
      </c>
      <c r="G8" s="15">
        <v>114.7</v>
      </c>
      <c r="H8" s="3">
        <v>229</v>
      </c>
      <c r="I8" s="15">
        <v>116</v>
      </c>
      <c r="J8" s="40">
        <v>181</v>
      </c>
      <c r="K8" s="41"/>
      <c r="L8" s="40"/>
      <c r="M8" s="40"/>
      <c r="N8" s="6"/>
    </row>
    <row r="9" spans="1:27" ht="21.5" thickBot="1" x14ac:dyDescent="0.55000000000000004">
      <c r="A9" s="6">
        <v>5</v>
      </c>
      <c r="B9" s="6">
        <v>201</v>
      </c>
      <c r="C9" s="3">
        <v>102.8</v>
      </c>
      <c r="D9" s="11">
        <v>203</v>
      </c>
      <c r="E9" s="17">
        <v>101</v>
      </c>
      <c r="F9" s="16">
        <v>239</v>
      </c>
      <c r="G9" s="17">
        <v>105.6</v>
      </c>
      <c r="H9" s="16">
        <v>233</v>
      </c>
      <c r="I9" s="17">
        <v>115.9</v>
      </c>
      <c r="J9" s="40">
        <v>174</v>
      </c>
      <c r="K9" s="41"/>
      <c r="L9" s="42"/>
      <c r="M9" s="42"/>
      <c r="N9" s="6"/>
    </row>
    <row r="10" spans="1:27" ht="22" thickTop="1" thickBot="1" x14ac:dyDescent="0.55000000000000004">
      <c r="A10" s="18"/>
      <c r="B10" s="21"/>
      <c r="C10" s="21"/>
      <c r="J10" s="12"/>
      <c r="K10" s="12"/>
      <c r="N10" s="3"/>
      <c r="O10" s="3"/>
      <c r="P10" s="3"/>
    </row>
    <row r="11" spans="1:27" ht="32" thickTop="1" thickBot="1" x14ac:dyDescent="0.75">
      <c r="A11" s="77" t="s">
        <v>24</v>
      </c>
      <c r="B11" s="78"/>
      <c r="C11" s="79"/>
      <c r="D11" s="3"/>
      <c r="E11" s="77" t="s">
        <v>43</v>
      </c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9"/>
    </row>
    <row r="12" spans="1:27" ht="22" thickTop="1" thickBot="1" x14ac:dyDescent="0.55000000000000004">
      <c r="A12" s="13" t="s">
        <v>0</v>
      </c>
      <c r="B12" s="10" t="s">
        <v>25</v>
      </c>
      <c r="C12" s="19" t="s">
        <v>26</v>
      </c>
      <c r="D12" s="8"/>
      <c r="E12" s="13" t="s">
        <v>0</v>
      </c>
      <c r="F12" s="87" t="s">
        <v>1</v>
      </c>
      <c r="G12" s="83"/>
      <c r="H12" s="83"/>
      <c r="I12" s="87" t="s">
        <v>2</v>
      </c>
      <c r="J12" s="83"/>
      <c r="K12" s="83"/>
      <c r="L12" s="87" t="s">
        <v>3</v>
      </c>
      <c r="M12" s="83"/>
      <c r="N12" s="33"/>
      <c r="O12" s="87" t="s">
        <v>22</v>
      </c>
      <c r="P12" s="83"/>
      <c r="Q12" s="88"/>
    </row>
    <row r="13" spans="1:27" ht="22" thickTop="1" thickBot="1" x14ac:dyDescent="0.55000000000000004">
      <c r="A13" s="9">
        <v>1</v>
      </c>
      <c r="B13" s="10">
        <v>12.615755</v>
      </c>
      <c r="C13" s="14">
        <v>12.728899999999999</v>
      </c>
      <c r="D13" s="3"/>
      <c r="E13" s="20"/>
      <c r="F13" s="13" t="s">
        <v>44</v>
      </c>
      <c r="G13" s="18" t="s">
        <v>45</v>
      </c>
      <c r="H13" s="19" t="s">
        <v>47</v>
      </c>
      <c r="I13" s="13" t="s">
        <v>44</v>
      </c>
      <c r="J13" s="18" t="s">
        <v>45</v>
      </c>
      <c r="K13" s="19" t="s">
        <v>47</v>
      </c>
      <c r="L13" s="13" t="s">
        <v>44</v>
      </c>
      <c r="M13" s="18" t="s">
        <v>45</v>
      </c>
      <c r="N13" s="19" t="s">
        <v>47</v>
      </c>
      <c r="O13" s="13" t="s">
        <v>44</v>
      </c>
      <c r="P13" s="18" t="s">
        <v>45</v>
      </c>
      <c r="Q13" s="19" t="s">
        <v>47</v>
      </c>
    </row>
    <row r="14" spans="1:27" ht="21.5" thickTop="1" x14ac:dyDescent="0.5">
      <c r="A14" s="8">
        <v>2</v>
      </c>
      <c r="B14" s="6">
        <v>11.893247000000001</v>
      </c>
      <c r="C14" s="15">
        <v>12.001132999999999</v>
      </c>
      <c r="D14" s="3"/>
      <c r="E14" s="8">
        <v>1</v>
      </c>
      <c r="F14" s="6">
        <v>120</v>
      </c>
      <c r="G14" s="29">
        <v>0.17899999999999999</v>
      </c>
      <c r="H14" s="5">
        <v>128.5</v>
      </c>
      <c r="I14" s="10">
        <v>123.4</v>
      </c>
      <c r="J14" s="31">
        <v>0.67800000000000005</v>
      </c>
      <c r="K14" s="14">
        <v>123.4</v>
      </c>
      <c r="L14" s="3">
        <v>120</v>
      </c>
      <c r="M14" s="29">
        <v>0.27800000000000002</v>
      </c>
      <c r="N14" s="14">
        <v>123.3</v>
      </c>
      <c r="O14" s="3">
        <v>120</v>
      </c>
      <c r="P14" s="30">
        <v>0.27500000000000002</v>
      </c>
      <c r="Q14" s="37">
        <v>125.2</v>
      </c>
    </row>
    <row r="15" spans="1:27" ht="21" x14ac:dyDescent="0.5">
      <c r="A15" s="8">
        <v>3</v>
      </c>
      <c r="B15" s="6">
        <v>11.184317</v>
      </c>
      <c r="C15" s="15">
        <v>11.273828</v>
      </c>
      <c r="D15" s="3"/>
      <c r="E15" s="8">
        <v>2</v>
      </c>
      <c r="F15" s="3">
        <v>120</v>
      </c>
      <c r="G15" s="29">
        <v>0.191</v>
      </c>
      <c r="H15" s="3">
        <v>117.9</v>
      </c>
      <c r="I15" s="6">
        <v>120</v>
      </c>
      <c r="J15" s="29">
        <v>7.4999999999999997E-2</v>
      </c>
      <c r="K15" s="15">
        <v>117.4</v>
      </c>
      <c r="L15" s="3">
        <v>120</v>
      </c>
      <c r="M15" s="29">
        <v>0.67100000000000004</v>
      </c>
      <c r="N15" s="15">
        <v>117.6</v>
      </c>
      <c r="O15" s="3">
        <v>120</v>
      </c>
      <c r="P15" s="29">
        <v>0.29299999999999998</v>
      </c>
      <c r="Q15" s="36">
        <v>116</v>
      </c>
    </row>
    <row r="16" spans="1:27" ht="21" x14ac:dyDescent="0.5">
      <c r="A16" s="8">
        <v>4</v>
      </c>
      <c r="B16" s="3">
        <v>6.4253830000000001</v>
      </c>
      <c r="C16" s="15">
        <v>6.4342199999999998</v>
      </c>
      <c r="D16" s="3"/>
      <c r="E16" s="8">
        <v>3</v>
      </c>
      <c r="F16" s="3">
        <v>120</v>
      </c>
      <c r="G16" s="29">
        <v>0.32800000000000001</v>
      </c>
      <c r="H16" s="3">
        <v>108.7</v>
      </c>
      <c r="I16" s="6">
        <v>120</v>
      </c>
      <c r="J16" s="29">
        <v>0.12</v>
      </c>
      <c r="K16" s="15">
        <v>114</v>
      </c>
      <c r="L16" s="3">
        <v>120</v>
      </c>
      <c r="M16" s="29">
        <v>0.254</v>
      </c>
      <c r="N16" s="15">
        <v>112.4</v>
      </c>
      <c r="O16" s="3">
        <v>120</v>
      </c>
      <c r="P16" s="30">
        <v>0.433</v>
      </c>
      <c r="Q16" s="36">
        <v>120.3</v>
      </c>
    </row>
    <row r="17" spans="1:17" ht="21.5" thickBot="1" x14ac:dyDescent="0.55000000000000004">
      <c r="A17" s="7">
        <v>5</v>
      </c>
      <c r="B17" s="11">
        <v>6.5250000000000004</v>
      </c>
      <c r="C17" s="17">
        <v>6.5789</v>
      </c>
      <c r="D17" s="3"/>
      <c r="E17" s="8">
        <v>4</v>
      </c>
      <c r="F17" s="3">
        <v>120</v>
      </c>
      <c r="G17" s="29">
        <v>0.42599999999999999</v>
      </c>
      <c r="H17" s="3">
        <v>117.3</v>
      </c>
      <c r="I17" s="6">
        <v>120</v>
      </c>
      <c r="J17" s="29">
        <v>0.247</v>
      </c>
      <c r="K17" s="15">
        <v>116.8</v>
      </c>
      <c r="L17" s="3">
        <v>120</v>
      </c>
      <c r="M17" s="29">
        <v>0.57199999999999995</v>
      </c>
      <c r="N17" s="15">
        <v>114.7</v>
      </c>
      <c r="O17" s="3">
        <v>120</v>
      </c>
      <c r="P17" s="30">
        <v>0.09</v>
      </c>
      <c r="Q17" s="36">
        <v>116</v>
      </c>
    </row>
    <row r="18" spans="1:17" ht="22" thickTop="1" thickBot="1" x14ac:dyDescent="0.55000000000000004">
      <c r="E18" s="6">
        <v>5</v>
      </c>
      <c r="F18" s="6">
        <v>100</v>
      </c>
      <c r="G18" s="30">
        <v>0.47099999999999997</v>
      </c>
      <c r="H18" s="34">
        <v>102.8</v>
      </c>
      <c r="I18" s="11">
        <v>100</v>
      </c>
      <c r="J18" s="32">
        <v>0.26700000000000002</v>
      </c>
      <c r="K18" s="35">
        <v>101</v>
      </c>
      <c r="L18" s="16">
        <v>105</v>
      </c>
      <c r="M18" s="32">
        <v>0.40100000000000002</v>
      </c>
      <c r="N18" s="36">
        <v>105.6</v>
      </c>
      <c r="O18" s="16">
        <v>115</v>
      </c>
      <c r="P18" s="32">
        <v>0.35799999999999998</v>
      </c>
      <c r="Q18" s="35">
        <v>115.9</v>
      </c>
    </row>
    <row r="19" spans="1:17" ht="22" thickTop="1" thickBot="1" x14ac:dyDescent="0.55000000000000004">
      <c r="E19" s="21"/>
      <c r="F19" s="21"/>
      <c r="G19" s="21"/>
      <c r="H19" s="21"/>
      <c r="K19" s="21"/>
      <c r="N19" s="5"/>
      <c r="Q19" s="12"/>
    </row>
    <row r="20" spans="1:17" ht="32" thickTop="1" thickBot="1" x14ac:dyDescent="0.75">
      <c r="A20" s="80" t="s">
        <v>42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2"/>
      <c r="N20" s="6"/>
    </row>
    <row r="21" spans="1:17" ht="22" thickTop="1" thickBot="1" x14ac:dyDescent="0.55000000000000004">
      <c r="A21" s="8" t="s">
        <v>0</v>
      </c>
      <c r="B21" s="87" t="s">
        <v>1</v>
      </c>
      <c r="C21" s="88"/>
      <c r="D21" s="87" t="s">
        <v>2</v>
      </c>
      <c r="E21" s="88"/>
      <c r="F21" s="87" t="s">
        <v>3</v>
      </c>
      <c r="G21" s="88"/>
      <c r="H21" s="87" t="s">
        <v>22</v>
      </c>
      <c r="I21" s="88"/>
      <c r="J21" s="86" t="s">
        <v>5</v>
      </c>
      <c r="K21" s="85"/>
      <c r="L21" s="86" t="s">
        <v>46</v>
      </c>
      <c r="M21" s="85"/>
      <c r="N21" s="6"/>
    </row>
    <row r="22" spans="1:17" ht="22" thickTop="1" thickBot="1" x14ac:dyDescent="0.55000000000000004">
      <c r="A22" s="9"/>
      <c r="B22" s="6" t="s">
        <v>20</v>
      </c>
      <c r="C22" s="4" t="s">
        <v>21</v>
      </c>
      <c r="D22" s="13" t="s">
        <v>20</v>
      </c>
      <c r="E22" s="26" t="s">
        <v>21</v>
      </c>
      <c r="F22" s="11" t="s">
        <v>20</v>
      </c>
      <c r="G22" s="27" t="s">
        <v>21</v>
      </c>
      <c r="H22" s="13" t="s">
        <v>20</v>
      </c>
      <c r="I22" s="26" t="s">
        <v>21</v>
      </c>
      <c r="J22" s="38" t="s">
        <v>20</v>
      </c>
      <c r="K22" s="43" t="s">
        <v>21</v>
      </c>
      <c r="L22" s="44" t="s">
        <v>20</v>
      </c>
      <c r="M22" s="45" t="s">
        <v>21</v>
      </c>
      <c r="N22" s="6"/>
    </row>
    <row r="23" spans="1:17" ht="21.5" thickTop="1" x14ac:dyDescent="0.5">
      <c r="A23" s="8">
        <v>1</v>
      </c>
      <c r="B23" s="10">
        <f>'Constants and Properties'!$H$4/397.3*AVERAGE($B$13:$C$13)*1/24*1000000*'Constants and Properties'!$E$4*(B5-C5)/1000</f>
        <v>1838.8104048560224</v>
      </c>
      <c r="C23" s="24">
        <f>B23/'Constants and Properties'!$B$21*100</f>
        <v>88.698850061421822</v>
      </c>
      <c r="D23" s="10">
        <f>'Constants and Properties'!$H$4/397.3*AVERAGE($B$13:$C$13)*1/24*1000000*'Constants and Properties'!$E$4*(D5-E5)/1000</f>
        <v>1514.9041091845882</v>
      </c>
      <c r="E23" s="4">
        <f>D23/'Constants and Properties'!$C$21*100</f>
        <v>105.44881616036521</v>
      </c>
      <c r="F23" s="10">
        <f>'Constants and Properties'!$H$4/397.3*AVERAGE($B$13:$C$13)*1/24*1000000*'Constants and Properties'!$E$4*(F5-G5)/1000</f>
        <v>1742.3276789256988</v>
      </c>
      <c r="G23" s="28">
        <f>F23/'Constants and Properties'!$D$21*100</f>
        <v>104.73621201978483</v>
      </c>
      <c r="H23" s="6">
        <f>'Constants and Properties'!$H$4/397.3*AVERAGE($B$13:$C$13)*1/24*1000000*'Constants and Properties'!$E$4*(H5-I5)/1000</f>
        <v>1781.7978852444039</v>
      </c>
      <c r="I23" s="28">
        <f>H23/'Constants and Properties'!$E$21*100</f>
        <v>99.452871038764883</v>
      </c>
      <c r="J23" s="46" t="e">
        <f>62.4*AVERAGE(#REF!)*1/24*1000000*1*(K5-J5)/1000</f>
        <v>#REF!</v>
      </c>
      <c r="K23" s="47" t="e">
        <f>J23/'Constants and Properties'!$F$21*100</f>
        <v>#REF!</v>
      </c>
      <c r="L23" s="46"/>
      <c r="M23" s="48">
        <f>L23/'Constants and Properties'!$G$21*100</f>
        <v>0</v>
      </c>
      <c r="N23" s="6"/>
    </row>
    <row r="24" spans="1:17" ht="21" x14ac:dyDescent="0.5">
      <c r="A24" s="8">
        <v>2</v>
      </c>
      <c r="B24" s="6">
        <f>'Constants and Properties'!$H$4/397.3*AVERAGE($B$14:$C$14)*1/24*1000000*'Constants and Properties'!$E$4*(B6-C6)/1000</f>
        <v>2110.4314277233725</v>
      </c>
      <c r="C24" s="4">
        <f>B24/'Constants and Properties'!$B$21*100</f>
        <v>101.80105587732133</v>
      </c>
      <c r="D24" s="6">
        <f>'Constants and Properties'!$H$4/397.3*AVERAGE($B$14:$C$14)*1/24*1000000*'Constants and Properties'!$E$4*(D6-E6)/1000</f>
        <v>1445.9379051404464</v>
      </c>
      <c r="E24" s="4">
        <f>D24/'Constants and Properties'!$C$21*100</f>
        <v>100.64824526783302</v>
      </c>
      <c r="F24" s="6">
        <f>'Constants and Properties'!$H$4/397.3*AVERAGE($B$14:$C$14)*1/24*1000000*'Constants and Properties'!$E$4*(F6-G6)/1000</f>
        <v>1672.7516941820857</v>
      </c>
      <c r="G24" s="25">
        <f>F24/'Constants and Properties'!$D$21*100</f>
        <v>100.55380409633064</v>
      </c>
      <c r="H24" s="3">
        <f>'Constants and Properties'!$H$4/397.3*AVERAGE($B$14:$C$14)*1/24*1000000*'Constants and Properties'!$E$4*(H6-I6)/1000</f>
        <v>1949.1809995765825</v>
      </c>
      <c r="I24" s="4">
        <f>H24/'Constants and Properties'!$E$21*100</f>
        <v>108.79553073187682</v>
      </c>
      <c r="J24" s="44"/>
      <c r="K24" s="48">
        <f>J24/'Constants and Properties'!$F$21*100</f>
        <v>0</v>
      </c>
      <c r="L24" s="44"/>
      <c r="M24" s="48">
        <f>L24/'Constants and Properties'!$G$21*100</f>
        <v>0</v>
      </c>
      <c r="N24" s="6"/>
    </row>
    <row r="25" spans="1:17" ht="21" x14ac:dyDescent="0.5">
      <c r="A25" s="8">
        <v>3</v>
      </c>
      <c r="B25" s="6">
        <f>'Constants and Properties'!$H$4/397.3*AVERAGE($B$15:$C$15)*1/24*1000000*'Constants and Properties'!$E$4*(B7-C7)/1000</f>
        <v>2270.0397147552894</v>
      </c>
      <c r="C25" s="25">
        <f>B25/'Constants and Properties'!$B$21*100</f>
        <v>109.5000940612568</v>
      </c>
      <c r="D25" s="3">
        <f>'Constants and Properties'!$H$4/397.3*AVERAGE($B$15:$C$15)*1/24*1000000*'Constants and Properties'!$E$4*(D7-E7)/1000</f>
        <v>1349.0331393630111</v>
      </c>
      <c r="E25" s="25">
        <f>D25/'Constants and Properties'!$C$21*100</f>
        <v>93.902938571801798</v>
      </c>
      <c r="F25" s="3">
        <f>'Constants and Properties'!$H$4/397.3*AVERAGE($B$15:$C$15)*1/24*1000000*'Constants and Properties'!$E$4*(F7-G7)/1000</f>
        <v>1575.5374689350722</v>
      </c>
      <c r="G25" s="25">
        <f>F25/'Constants and Properties'!$D$21*100</f>
        <v>94.709983883884533</v>
      </c>
      <c r="H25" s="3">
        <f>'Constants and Properties'!$H$4/397.3*AVERAGE($B$15:$C$15)*1/24*1000000*'Constants and Properties'!$E$4*(H7-I7)/1000</f>
        <v>1643.8218624090025</v>
      </c>
      <c r="I25" s="4">
        <f>H25/'Constants and Properties'!$E$21*100</f>
        <v>91.751598229358308</v>
      </c>
      <c r="J25" s="44"/>
      <c r="K25" s="48">
        <f>J25/'Constants and Properties'!$F$21*100</f>
        <v>0</v>
      </c>
      <c r="L25" s="44"/>
      <c r="M25" s="49">
        <f>L25/'Constants and Properties'!$G$21*100</f>
        <v>0</v>
      </c>
      <c r="N25" s="3"/>
      <c r="Q25" s="3"/>
    </row>
    <row r="26" spans="1:17" ht="21" x14ac:dyDescent="0.5">
      <c r="A26" s="8">
        <v>4</v>
      </c>
      <c r="B26" s="6">
        <f>'Constants and Properties'!$H$4/397.3*AVERAGE($B$16:$C$16)*1/24*1000000*'Constants and Properties'!$E$4*(B8-C8)/1000</f>
        <v>731.4533667589078</v>
      </c>
      <c r="C26" s="4">
        <f>B26/'Constants and Properties'!$B$22*100</f>
        <v>86.781625727766254</v>
      </c>
      <c r="D26" s="6">
        <f>'Constants and Properties'!$H$4/397.3*AVERAGE($B$16:$C$16)*1/24*1000000*'Constants and Properties'!$E$4*(D8-E8)/1000</f>
        <v>888.80643783481366</v>
      </c>
      <c r="E26" s="4">
        <f>D26/'Constants and Properties'!$C$22*100</f>
        <v>94.553189095894012</v>
      </c>
      <c r="F26" s="6">
        <f>'Constants and Properties'!$H$4/397.3*AVERAGE($B$16:$C$16)*1/24*1000000*'Constants and Properties'!$E$4*(F8-G8)/1000</f>
        <v>1242.6124340115473</v>
      </c>
      <c r="G26" s="25">
        <f>F26/'Constants and Properties'!$D$22*100</f>
        <v>97.883731127255757</v>
      </c>
      <c r="H26" s="6">
        <f>'Constants and Properties'!$H$4/397.3*AVERAGE($B$16:$C$16)*1/24*1000000*'Constants and Properties'!$E$4*(H8-I8)/1000</f>
        <v>1077.6301231259006</v>
      </c>
      <c r="I26" s="25">
        <f>H26/'Constants and Properties'!$E$22*100</f>
        <v>97.277697777175945</v>
      </c>
      <c r="J26" s="40"/>
      <c r="K26" s="48">
        <f>J26/'Constants and Properties'!$F$22*100</f>
        <v>0</v>
      </c>
      <c r="L26" s="44"/>
      <c r="M26" s="49">
        <f>L26/'Constants and Properties'!$G$22*100</f>
        <v>0</v>
      </c>
      <c r="N26" s="3"/>
    </row>
    <row r="27" spans="1:17" ht="21.5" thickBot="1" x14ac:dyDescent="0.55000000000000004">
      <c r="A27" s="7">
        <v>5</v>
      </c>
      <c r="B27" s="11">
        <f>'Constants and Properties'!$H$4/397.3*AVERAGE($B$17:$C$17)*1/24*1000000*'Constants and Properties'!$E$4*(B9-C9)/1000</f>
        <v>954.2798990673748</v>
      </c>
      <c r="C27" s="27">
        <f>B27/'Constants and Properties'!$B$22*100</f>
        <v>113.21837427223373</v>
      </c>
      <c r="D27" s="11">
        <f>'Constants and Properties'!$H$4/397.3*AVERAGE($B$17:$C$17)*1/24*1000000*'Constants and Properties'!$E$4*(D9-E9)/1000</f>
        <v>991.20722713719169</v>
      </c>
      <c r="E27" s="27">
        <f>D27/'Constants and Properties'!$C$22*100</f>
        <v>105.44681090410602</v>
      </c>
      <c r="F27" s="11">
        <f>'Constants and Properties'!$H$4/397.3*AVERAGE($B$17:$C$17)*1/24*1000000*'Constants and Properties'!$E$4*(F9-G9)/1000</f>
        <v>1296.3435696088368</v>
      </c>
      <c r="G27" s="27">
        <f>F27/'Constants and Properties'!$D$22*100</f>
        <v>102.11626887274426</v>
      </c>
      <c r="H27" s="11">
        <f>'Constants and Properties'!$H$4/397.3*AVERAGE($B$17:$C$17)*1/24*1000000*'Constants and Properties'!$E$4*(H9-I9)/1000</f>
        <v>1137.9447676251484</v>
      </c>
      <c r="I27" s="27">
        <f>H27/'Constants and Properties'!$E$22*100</f>
        <v>102.72230222282408</v>
      </c>
      <c r="J27" s="50"/>
      <c r="K27" s="45">
        <f>J27/'Constants and Properties'!$F$22*100</f>
        <v>0</v>
      </c>
      <c r="L27" s="50"/>
      <c r="M27" s="45">
        <f>L27/'Constants and Properties'!$G$22*100</f>
        <v>0</v>
      </c>
      <c r="N27" s="3"/>
    </row>
    <row r="28" spans="1:17" ht="21.5" thickTop="1" x14ac:dyDescent="0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7" ht="21" x14ac:dyDescent="0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3" spans="23:25" x14ac:dyDescent="0.4">
      <c r="W33" s="2"/>
      <c r="X33" s="2"/>
      <c r="Y33" s="2"/>
    </row>
    <row r="34" spans="23:25" x14ac:dyDescent="0.4">
      <c r="W34" s="2"/>
      <c r="X34" s="2"/>
      <c r="Y34" s="2"/>
    </row>
    <row r="35" spans="23:25" x14ac:dyDescent="0.4">
      <c r="W35" s="2"/>
      <c r="X35" s="2"/>
      <c r="Y35" s="2"/>
    </row>
    <row r="36" spans="23:25" x14ac:dyDescent="0.4">
      <c r="W36" s="2"/>
      <c r="X36" s="2"/>
      <c r="Y36" s="2"/>
    </row>
    <row r="37" spans="23:25" x14ac:dyDescent="0.4">
      <c r="W37" s="2"/>
      <c r="X37" s="2"/>
      <c r="Y37" s="2"/>
    </row>
    <row r="38" spans="23:25" x14ac:dyDescent="0.4">
      <c r="W38" s="2"/>
      <c r="X38" s="2"/>
      <c r="Y38" s="2"/>
    </row>
    <row r="39" spans="23:25" x14ac:dyDescent="0.4">
      <c r="W39" s="2"/>
      <c r="X39" s="2"/>
      <c r="Y39" s="2"/>
    </row>
    <row r="41" spans="23:25" x14ac:dyDescent="0.4">
      <c r="W41" s="2"/>
      <c r="X41" s="2"/>
      <c r="Y41" s="2"/>
    </row>
    <row r="42" spans="23:25" x14ac:dyDescent="0.4">
      <c r="W42" s="2"/>
      <c r="X42" s="2"/>
    </row>
  </sheetData>
  <mergeCells count="23">
    <mergeCell ref="O2:Q2"/>
    <mergeCell ref="O3:Q4"/>
    <mergeCell ref="B21:C21"/>
    <mergeCell ref="D21:E21"/>
    <mergeCell ref="F21:G21"/>
    <mergeCell ref="H21:I21"/>
    <mergeCell ref="J21:K21"/>
    <mergeCell ref="L21:M21"/>
    <mergeCell ref="F12:H12"/>
    <mergeCell ref="E11:Q11"/>
    <mergeCell ref="I12:K12"/>
    <mergeCell ref="L12:M12"/>
    <mergeCell ref="O12:Q12"/>
    <mergeCell ref="A2:M2"/>
    <mergeCell ref="A1:M1"/>
    <mergeCell ref="A11:C11"/>
    <mergeCell ref="A20:M20"/>
    <mergeCell ref="H3:I3"/>
    <mergeCell ref="J3:K3"/>
    <mergeCell ref="L3:M3"/>
    <mergeCell ref="B3:C3"/>
    <mergeCell ref="D3:E3"/>
    <mergeCell ref="F3:G3"/>
  </mergeCells>
  <conditionalFormatting sqref="C5:C9">
    <cfRule type="expression" dxfId="2" priority="2">
      <formula>AND(C5 &gt;= A5 * 0.95,  C5 &lt;= A5 * 1.05)</formula>
    </cfRule>
  </conditionalFormatting>
  <conditionalFormatting sqref="H14:H18">
    <cfRule type="expression" dxfId="1" priority="6">
      <formula>AND(H14 &gt;= F14 * 0.95,  H14 &lt;= F14 * 1.05)</formula>
    </cfRule>
  </conditionalFormatting>
  <conditionalFormatting sqref="K14">
    <cfRule type="expression" dxfId="0" priority="5">
      <formula>AND(K14 &gt;= I14 * 0.95,  K14 &lt;= I14 * 1.05)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6977-330E-446E-BE29-EACEF5B2FEE5}">
  <dimension ref="A1:AA42"/>
  <sheetViews>
    <sheetView topLeftCell="A7" zoomScale="66" zoomScaleNormal="85" workbookViewId="0">
      <selection sqref="A1:G1"/>
    </sheetView>
  </sheetViews>
  <sheetFormatPr defaultColWidth="9.1796875" defaultRowHeight="16" x14ac:dyDescent="0.4"/>
  <cols>
    <col min="1" max="1" width="33.1796875" style="1" customWidth="1"/>
    <col min="2" max="2" width="22.1796875" style="1" bestFit="1" customWidth="1"/>
    <col min="3" max="3" width="21.453125" style="1" bestFit="1" customWidth="1"/>
    <col min="4" max="4" width="12.7265625" style="1" customWidth="1"/>
    <col min="5" max="5" width="18.54296875" style="1" customWidth="1"/>
    <col min="6" max="6" width="15.54296875" style="1" customWidth="1"/>
    <col min="7" max="7" width="16.81640625" style="1" customWidth="1"/>
    <col min="8" max="8" width="13.1796875" style="1" customWidth="1"/>
    <col min="9" max="9" width="18.453125" style="1" customWidth="1"/>
    <col min="10" max="10" width="16.81640625" style="1" bestFit="1" customWidth="1"/>
    <col min="11" max="11" width="16.1796875" style="1" customWidth="1"/>
    <col min="12" max="12" width="17.54296875" style="1" customWidth="1"/>
    <col min="13" max="13" width="19.1796875" style="1" customWidth="1"/>
    <col min="14" max="14" width="14" style="1" customWidth="1"/>
    <col min="15" max="15" width="13.81640625" style="1" customWidth="1"/>
    <col min="16" max="16" width="19.7265625" style="1" customWidth="1"/>
    <col min="17" max="17" width="12.81640625" style="1" customWidth="1"/>
    <col min="18" max="21" width="9.1796875" style="1"/>
    <col min="22" max="22" width="9.26953125" style="1" bestFit="1" customWidth="1"/>
    <col min="23" max="25" width="10.1796875" style="1" bestFit="1" customWidth="1"/>
    <col min="26" max="16384" width="9.1796875" style="1"/>
  </cols>
  <sheetData>
    <row r="1" spans="1:27" customFormat="1" ht="47.5" customHeight="1" thickBot="1" x14ac:dyDescent="1.1499999999999999">
      <c r="A1" s="75" t="s">
        <v>55</v>
      </c>
      <c r="B1" s="75"/>
      <c r="C1" s="75"/>
      <c r="D1" s="75"/>
      <c r="E1" s="75"/>
      <c r="F1" s="75"/>
      <c r="G1" s="75"/>
      <c r="H1" s="72"/>
      <c r="I1" s="71"/>
      <c r="J1" s="71"/>
      <c r="K1" s="71"/>
      <c r="L1" s="71"/>
      <c r="M1" s="71"/>
    </row>
    <row r="2" spans="1:27" customFormat="1" ht="32" thickTop="1" thickBot="1" x14ac:dyDescent="0.75">
      <c r="A2" s="77" t="s">
        <v>23</v>
      </c>
      <c r="B2" s="78"/>
      <c r="C2" s="78"/>
      <c r="D2" s="78"/>
      <c r="E2" s="78"/>
      <c r="F2" s="78"/>
      <c r="G2" s="79"/>
      <c r="H2" s="73"/>
      <c r="I2" s="78" t="s">
        <v>48</v>
      </c>
      <c r="J2" s="78"/>
      <c r="K2" s="79"/>
      <c r="L2" s="23"/>
      <c r="M2" s="23"/>
      <c r="N2" s="3"/>
      <c r="O2" s="1"/>
      <c r="P2" s="1"/>
      <c r="Q2" s="1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customFormat="1" ht="22" thickTop="1" thickBot="1" x14ac:dyDescent="0.55000000000000004">
      <c r="A3" s="13" t="s">
        <v>0</v>
      </c>
      <c r="B3" s="87" t="s">
        <v>4</v>
      </c>
      <c r="C3" s="88"/>
      <c r="D3" s="83" t="s">
        <v>5</v>
      </c>
      <c r="E3" s="88"/>
      <c r="F3" s="87" t="s">
        <v>6</v>
      </c>
      <c r="G3" s="88"/>
      <c r="H3" s="1"/>
      <c r="I3" s="89">
        <v>45838</v>
      </c>
      <c r="J3" s="90"/>
      <c r="K3" s="93"/>
      <c r="L3" s="1"/>
      <c r="M3" s="1"/>
      <c r="N3" s="3"/>
      <c r="O3" s="1"/>
      <c r="P3" s="1"/>
      <c r="Q3" s="1"/>
      <c r="R3" s="51"/>
    </row>
    <row r="4" spans="1:27" customFormat="1" ht="22" thickTop="1" thickBot="1" x14ac:dyDescent="0.55000000000000004">
      <c r="A4" s="20"/>
      <c r="B4" s="13" t="s">
        <v>7</v>
      </c>
      <c r="C4" s="19" t="s">
        <v>8</v>
      </c>
      <c r="D4" s="13" t="s">
        <v>7</v>
      </c>
      <c r="E4" s="19" t="s">
        <v>8</v>
      </c>
      <c r="F4" s="13" t="s">
        <v>7</v>
      </c>
      <c r="G4" s="19" t="s">
        <v>8</v>
      </c>
      <c r="H4" s="1"/>
      <c r="I4" s="91"/>
      <c r="J4" s="92"/>
      <c r="K4" s="94"/>
      <c r="L4" s="1"/>
      <c r="M4" s="1"/>
      <c r="N4" s="3"/>
      <c r="O4" s="1"/>
      <c r="P4" s="1"/>
      <c r="Q4" s="1"/>
      <c r="R4" s="51"/>
    </row>
    <row r="5" spans="1:27" ht="21.5" thickTop="1" x14ac:dyDescent="0.5">
      <c r="A5" s="8">
        <v>1</v>
      </c>
      <c r="B5" s="3">
        <v>189</v>
      </c>
      <c r="C5" s="14">
        <v>108</v>
      </c>
      <c r="D5" s="3">
        <v>190</v>
      </c>
      <c r="E5" s="15">
        <v>122</v>
      </c>
      <c r="F5" s="3"/>
      <c r="G5" s="15"/>
      <c r="N5" s="3"/>
    </row>
    <row r="6" spans="1:27" ht="21" x14ac:dyDescent="0.5">
      <c r="A6" s="8">
        <v>2</v>
      </c>
      <c r="B6" s="3"/>
      <c r="C6" s="15"/>
      <c r="D6" s="3"/>
      <c r="E6" s="15"/>
      <c r="F6" s="3"/>
      <c r="G6" s="15"/>
      <c r="N6" s="3"/>
    </row>
    <row r="7" spans="1:27" ht="21.5" thickBot="1" x14ac:dyDescent="0.55000000000000004">
      <c r="A7" s="8">
        <v>3</v>
      </c>
      <c r="B7" s="3"/>
      <c r="C7" s="15"/>
      <c r="D7" s="3"/>
      <c r="E7" s="15"/>
      <c r="F7" s="3"/>
      <c r="G7" s="17"/>
      <c r="N7" s="3"/>
    </row>
    <row r="8" spans="1:27" ht="22" thickTop="1" thickBot="1" x14ac:dyDescent="0.55000000000000004">
      <c r="A8" s="10"/>
      <c r="B8" s="5"/>
      <c r="C8" s="5"/>
      <c r="D8" s="5"/>
      <c r="E8" s="5"/>
      <c r="F8" s="5"/>
      <c r="G8" s="3"/>
      <c r="H8" s="3"/>
      <c r="I8" s="3"/>
      <c r="J8" s="3"/>
      <c r="K8" s="3"/>
      <c r="L8" s="3"/>
      <c r="M8" s="3"/>
      <c r="N8" s="3"/>
    </row>
    <row r="9" spans="1:27" ht="32" thickTop="1" thickBot="1" x14ac:dyDescent="0.75">
      <c r="A9" s="52" t="s">
        <v>24</v>
      </c>
      <c r="B9" s="53"/>
      <c r="C9" s="54"/>
      <c r="D9" s="3"/>
      <c r="E9" s="77" t="s">
        <v>43</v>
      </c>
      <c r="F9" s="78"/>
      <c r="G9" s="78"/>
      <c r="H9" s="78"/>
      <c r="I9" s="78"/>
      <c r="J9" s="78"/>
      <c r="K9" s="78"/>
      <c r="L9" s="78"/>
      <c r="M9" s="78"/>
      <c r="N9" s="79"/>
    </row>
    <row r="10" spans="1:27" ht="22" thickTop="1" thickBot="1" x14ac:dyDescent="0.55000000000000004">
      <c r="A10" s="13" t="s">
        <v>0</v>
      </c>
      <c r="B10" s="10" t="s">
        <v>25</v>
      </c>
      <c r="C10" s="19" t="s">
        <v>26</v>
      </c>
      <c r="D10" s="8"/>
      <c r="E10" s="13" t="s">
        <v>0</v>
      </c>
      <c r="F10" s="87" t="s">
        <v>4</v>
      </c>
      <c r="G10" s="83"/>
      <c r="H10" s="88"/>
      <c r="I10" s="87" t="s">
        <v>5</v>
      </c>
      <c r="J10" s="83"/>
      <c r="K10" s="88"/>
      <c r="L10" s="87" t="s">
        <v>46</v>
      </c>
      <c r="M10" s="83"/>
      <c r="N10" s="88"/>
      <c r="O10" s="3"/>
      <c r="P10" s="3"/>
    </row>
    <row r="11" spans="1:27" ht="32" thickTop="1" thickBot="1" x14ac:dyDescent="0.75">
      <c r="A11" s="9">
        <v>1</v>
      </c>
      <c r="B11" s="10">
        <v>14.134</v>
      </c>
      <c r="C11" s="14"/>
      <c r="D11" s="3"/>
      <c r="E11" s="20"/>
      <c r="F11" s="13" t="s">
        <v>44</v>
      </c>
      <c r="G11" s="18" t="s">
        <v>45</v>
      </c>
      <c r="H11" s="19" t="s">
        <v>47</v>
      </c>
      <c r="I11" s="13" t="s">
        <v>44</v>
      </c>
      <c r="J11" s="18" t="s">
        <v>45</v>
      </c>
      <c r="K11" s="19" t="s">
        <v>47</v>
      </c>
      <c r="L11" s="13" t="s">
        <v>44</v>
      </c>
      <c r="M11" s="18" t="s">
        <v>45</v>
      </c>
      <c r="N11" s="19" t="s">
        <v>47</v>
      </c>
      <c r="O11" s="63"/>
      <c r="P11" s="23"/>
      <c r="Q11" s="23"/>
    </row>
    <row r="12" spans="1:27" ht="21.5" thickTop="1" x14ac:dyDescent="0.5">
      <c r="A12" s="8">
        <v>2</v>
      </c>
      <c r="B12" s="6"/>
      <c r="C12" s="15"/>
      <c r="D12" s="3"/>
      <c r="E12" s="8">
        <v>1</v>
      </c>
      <c r="F12" s="10"/>
      <c r="G12" s="31"/>
      <c r="H12" s="14"/>
      <c r="I12" s="3"/>
      <c r="J12" s="29"/>
      <c r="K12" s="14"/>
      <c r="L12" s="3"/>
      <c r="M12" s="30"/>
      <c r="N12" s="14"/>
      <c r="O12" s="59"/>
    </row>
    <row r="13" spans="1:27" ht="21.5" thickBot="1" x14ac:dyDescent="0.55000000000000004">
      <c r="A13" s="7">
        <v>3</v>
      </c>
      <c r="B13" s="6"/>
      <c r="C13" s="15"/>
      <c r="D13" s="3"/>
      <c r="E13" s="8">
        <v>2</v>
      </c>
      <c r="F13" s="6"/>
      <c r="G13" s="29"/>
      <c r="H13" s="15"/>
      <c r="I13" s="3"/>
      <c r="J13" s="29"/>
      <c r="K13" s="15"/>
      <c r="L13" s="3"/>
      <c r="M13" s="29"/>
      <c r="N13" s="15"/>
    </row>
    <row r="14" spans="1:27" ht="22" thickTop="1" thickBot="1" x14ac:dyDescent="0.55000000000000004">
      <c r="A14" s="6"/>
      <c r="B14" s="5"/>
      <c r="C14" s="5"/>
      <c r="D14" s="15"/>
      <c r="E14" s="8">
        <v>3</v>
      </c>
      <c r="F14" s="6"/>
      <c r="G14" s="29"/>
      <c r="H14" s="17"/>
      <c r="I14" s="3"/>
      <c r="J14" s="60"/>
      <c r="K14" s="17"/>
      <c r="L14" s="3"/>
      <c r="M14" s="32"/>
      <c r="N14" s="15"/>
    </row>
    <row r="15" spans="1:27" ht="22" thickTop="1" thickBot="1" x14ac:dyDescent="0.55000000000000004">
      <c r="A15" s="11"/>
      <c r="B15" s="16"/>
      <c r="C15" s="16"/>
      <c r="D15" s="16"/>
      <c r="E15" s="21"/>
      <c r="F15" s="18"/>
      <c r="G15" s="61"/>
      <c r="H15" s="5"/>
      <c r="I15" s="5"/>
      <c r="J15" s="31"/>
      <c r="K15" s="3"/>
      <c r="L15" s="5"/>
      <c r="M15" s="29"/>
      <c r="N15" s="5"/>
    </row>
    <row r="16" spans="1:27" ht="32" thickTop="1" thickBot="1" x14ac:dyDescent="0.75">
      <c r="A16" s="55" t="s">
        <v>42</v>
      </c>
      <c r="B16" s="56"/>
      <c r="C16" s="56"/>
      <c r="D16" s="56"/>
      <c r="E16" s="56"/>
      <c r="F16" s="56"/>
      <c r="G16" s="56"/>
      <c r="H16" s="23"/>
      <c r="I16" s="23"/>
      <c r="J16" s="23"/>
      <c r="K16" s="23"/>
      <c r="L16" s="23"/>
      <c r="M16" s="23"/>
      <c r="N16" s="3"/>
    </row>
    <row r="17" spans="1:17" ht="22" thickTop="1" thickBot="1" x14ac:dyDescent="0.55000000000000004">
      <c r="A17" s="8" t="s">
        <v>0</v>
      </c>
      <c r="B17" s="87" t="s">
        <v>4</v>
      </c>
      <c r="C17" s="88"/>
      <c r="D17" s="87" t="s">
        <v>5</v>
      </c>
      <c r="E17" s="88"/>
      <c r="F17" s="87" t="s">
        <v>46</v>
      </c>
      <c r="G17" s="88"/>
      <c r="N17" s="3"/>
      <c r="O17" s="3"/>
      <c r="P17" s="30"/>
      <c r="Q17" s="3"/>
    </row>
    <row r="18" spans="1:17" ht="22" thickTop="1" thickBot="1" x14ac:dyDescent="0.55000000000000004">
      <c r="A18" s="9"/>
      <c r="B18" s="13" t="s">
        <v>20</v>
      </c>
      <c r="C18" s="26" t="s">
        <v>21</v>
      </c>
      <c r="D18" s="13" t="s">
        <v>20</v>
      </c>
      <c r="E18" s="26" t="s">
        <v>21</v>
      </c>
      <c r="F18" s="6" t="s">
        <v>20</v>
      </c>
      <c r="G18" s="27" t="s">
        <v>21</v>
      </c>
      <c r="N18" s="3"/>
      <c r="O18" s="3"/>
      <c r="P18" s="30"/>
      <c r="Q18" s="3"/>
    </row>
    <row r="19" spans="1:17" ht="21.5" thickTop="1" x14ac:dyDescent="0.5">
      <c r="A19" s="8">
        <v>1</v>
      </c>
      <c r="B19" s="6">
        <f>'Constants and Properties'!$H$4/397.3*AVERAGE($B$11:$C$11)*1/24*1000000*'Constants and Properties'!$E$4*(B5-C5)/1000</f>
        <v>1698.0239812109862</v>
      </c>
      <c r="C19" s="28">
        <f>B19/'Constants and Properties'!$B$35*100</f>
        <v>99.999999999999773</v>
      </c>
      <c r="D19" s="10"/>
      <c r="E19" s="64">
        <f>D19/'Constants and Properties'!$F$21*100</f>
        <v>0</v>
      </c>
      <c r="F19" s="10"/>
      <c r="G19" s="4">
        <f>F19/'Constants and Properties'!$G$21*100</f>
        <v>0</v>
      </c>
      <c r="H19" s="59"/>
      <c r="N19" s="3"/>
    </row>
    <row r="20" spans="1:17" ht="21" x14ac:dyDescent="0.5">
      <c r="A20" s="8">
        <v>2</v>
      </c>
      <c r="B20" s="3" t="e">
        <f>'Constants and Properties'!$H$4/397.3*AVERAGE($B$12:$C$12)*1/24*1000000*'Constants and Properties'!$E$4*(B6-C6)/1000</f>
        <v>#DIV/0!</v>
      </c>
      <c r="C20" s="4" t="e">
        <f>B20/'Constants and Properties'!$E$21*100</f>
        <v>#DIV/0!</v>
      </c>
      <c r="D20" s="6"/>
      <c r="E20" s="4">
        <f>D20/'Constants and Properties'!$F$21*100</f>
        <v>0</v>
      </c>
      <c r="F20" s="6"/>
      <c r="G20" s="4">
        <f>F20/'Constants and Properties'!$G$21*100</f>
        <v>0</v>
      </c>
      <c r="H20" s="59"/>
      <c r="N20" s="3"/>
    </row>
    <row r="21" spans="1:17" ht="21.5" thickBot="1" x14ac:dyDescent="0.55000000000000004">
      <c r="A21" s="7">
        <v>3</v>
      </c>
      <c r="B21" s="11" t="e">
        <f>'Constants and Properties'!$H$4/397.3*AVERAGE($B$13:$C$13)*1/24*1000000*'Constants and Properties'!$E$4*(B7-C7)/1000</f>
        <v>#DIV/0!</v>
      </c>
      <c r="C21" s="27" t="e">
        <f>B21/'Constants and Properties'!$E$21*100</f>
        <v>#DIV/0!</v>
      </c>
      <c r="D21" s="11"/>
      <c r="E21" s="4">
        <f>D21/'Constants and Properties'!$F$21*100</f>
        <v>0</v>
      </c>
      <c r="F21" s="6"/>
      <c r="G21" s="27">
        <f>F21/'Constants and Properties'!$G$21*100</f>
        <v>0</v>
      </c>
      <c r="N21" s="3"/>
    </row>
    <row r="22" spans="1:17" ht="16.5" thickTop="1" x14ac:dyDescent="0.4">
      <c r="E22" s="12"/>
      <c r="F22" s="12"/>
    </row>
    <row r="24" spans="1:17" ht="21" x14ac:dyDescent="0.5">
      <c r="A24" s="6"/>
      <c r="B24" s="3"/>
      <c r="C24" s="62"/>
      <c r="D24" s="3"/>
      <c r="E24" s="62"/>
      <c r="F24" s="3"/>
      <c r="G24" s="62"/>
      <c r="N24" s="3"/>
    </row>
    <row r="25" spans="1:17" ht="21" x14ac:dyDescent="0.5">
      <c r="A25" s="3"/>
      <c r="D25" s="3"/>
      <c r="E25" s="62"/>
      <c r="F25" s="3"/>
      <c r="G25" s="62"/>
      <c r="N25" s="3"/>
      <c r="Q25" s="3"/>
    </row>
    <row r="26" spans="1:17" ht="21" x14ac:dyDescent="0.5">
      <c r="N26" s="3"/>
    </row>
    <row r="27" spans="1:17" ht="21" x14ac:dyDescent="0.5">
      <c r="N27" s="3"/>
    </row>
    <row r="28" spans="1:17" ht="21" x14ac:dyDescent="0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7" ht="21" x14ac:dyDescent="0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3" spans="23:25" x14ac:dyDescent="0.4">
      <c r="W33" s="2"/>
      <c r="X33" s="2"/>
      <c r="Y33" s="2"/>
    </row>
    <row r="34" spans="23:25" x14ac:dyDescent="0.4">
      <c r="W34" s="2"/>
      <c r="X34" s="2"/>
      <c r="Y34" s="2"/>
    </row>
    <row r="35" spans="23:25" x14ac:dyDescent="0.4">
      <c r="W35" s="2"/>
      <c r="X35" s="2"/>
      <c r="Y35" s="2"/>
    </row>
    <row r="36" spans="23:25" x14ac:dyDescent="0.4">
      <c r="W36" s="2"/>
      <c r="X36" s="2"/>
      <c r="Y36" s="2"/>
    </row>
    <row r="37" spans="23:25" x14ac:dyDescent="0.4">
      <c r="W37" s="2"/>
      <c r="X37" s="2"/>
      <c r="Y37" s="2"/>
    </row>
    <row r="38" spans="23:25" x14ac:dyDescent="0.4">
      <c r="W38" s="2"/>
      <c r="X38" s="2"/>
      <c r="Y38" s="2"/>
    </row>
    <row r="39" spans="23:25" x14ac:dyDescent="0.4">
      <c r="W39" s="2"/>
      <c r="X39" s="2"/>
      <c r="Y39" s="2"/>
    </row>
    <row r="41" spans="23:25" x14ac:dyDescent="0.4">
      <c r="W41" s="2"/>
      <c r="X41" s="2"/>
      <c r="Y41" s="2"/>
    </row>
    <row r="42" spans="23:25" x14ac:dyDescent="0.4">
      <c r="W42" s="2"/>
      <c r="X42" s="2"/>
    </row>
  </sheetData>
  <mergeCells count="14">
    <mergeCell ref="E9:N9"/>
    <mergeCell ref="B17:C17"/>
    <mergeCell ref="D17:E17"/>
    <mergeCell ref="F17:G17"/>
    <mergeCell ref="F10:H10"/>
    <mergeCell ref="I10:K10"/>
    <mergeCell ref="L10:N10"/>
    <mergeCell ref="A1:G1"/>
    <mergeCell ref="I2:K2"/>
    <mergeCell ref="B3:C3"/>
    <mergeCell ref="D3:E3"/>
    <mergeCell ref="F3:G3"/>
    <mergeCell ref="I3:K4"/>
    <mergeCell ref="A2:G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0B35-3EBC-4CB9-AF48-3C8BAC688E6D}">
  <dimension ref="A1:AA42"/>
  <sheetViews>
    <sheetView zoomScale="67" zoomScaleNormal="100" workbookViewId="0">
      <selection activeCell="B17" sqref="B17"/>
    </sheetView>
  </sheetViews>
  <sheetFormatPr defaultColWidth="9.1796875" defaultRowHeight="16" x14ac:dyDescent="0.4"/>
  <cols>
    <col min="1" max="1" width="33.1796875" style="1" customWidth="1"/>
    <col min="2" max="2" width="22.1796875" style="1" bestFit="1" customWidth="1"/>
    <col min="3" max="3" width="21.453125" style="1" bestFit="1" customWidth="1"/>
    <col min="4" max="4" width="12.7265625" style="1" customWidth="1"/>
    <col min="5" max="5" width="18.54296875" style="1" customWidth="1"/>
    <col min="6" max="6" width="15.54296875" style="1" customWidth="1"/>
    <col min="7" max="7" width="16.81640625" style="1" customWidth="1"/>
    <col min="8" max="8" width="13.1796875" style="1" customWidth="1"/>
    <col min="9" max="9" width="18.453125" style="1" customWidth="1"/>
    <col min="10" max="10" width="16.81640625" style="1" bestFit="1" customWidth="1"/>
    <col min="11" max="11" width="16.1796875" style="1" customWidth="1"/>
    <col min="12" max="12" width="17.54296875" style="1" customWidth="1"/>
    <col min="13" max="13" width="19.1796875" style="1" customWidth="1"/>
    <col min="14" max="14" width="14" style="1" customWidth="1"/>
    <col min="15" max="15" width="13.81640625" style="1" customWidth="1"/>
    <col min="16" max="16" width="19.7265625" style="1" customWidth="1"/>
    <col min="17" max="17" width="12.81640625" style="1" customWidth="1"/>
    <col min="18" max="21" width="9.1796875" style="1"/>
    <col min="22" max="22" width="9.26953125" style="1" bestFit="1" customWidth="1"/>
    <col min="23" max="25" width="10.1796875" style="1" bestFit="1" customWidth="1"/>
    <col min="26" max="16384" width="9.1796875" style="1"/>
  </cols>
  <sheetData>
    <row r="1" spans="1:27" customFormat="1" ht="47.5" customHeight="1" thickBot="1" x14ac:dyDescent="1.1499999999999999">
      <c r="A1" s="95" t="s">
        <v>62</v>
      </c>
      <c r="B1" s="95"/>
      <c r="C1" s="95"/>
      <c r="D1" s="95"/>
      <c r="E1" s="96"/>
      <c r="F1" s="71"/>
      <c r="G1" s="71"/>
      <c r="H1" s="71"/>
      <c r="I1" s="71"/>
      <c r="J1" s="71"/>
      <c r="K1" s="71"/>
      <c r="L1" s="71"/>
      <c r="M1" s="71"/>
    </row>
    <row r="2" spans="1:27" customFormat="1" ht="32" thickTop="1" thickBot="1" x14ac:dyDescent="0.75">
      <c r="A2" s="77" t="s">
        <v>23</v>
      </c>
      <c r="B2" s="78"/>
      <c r="C2" s="78"/>
      <c r="D2" s="78"/>
      <c r="E2" s="79"/>
      <c r="F2" s="23"/>
      <c r="G2" s="23"/>
      <c r="H2" s="74"/>
      <c r="I2" s="78" t="s">
        <v>48</v>
      </c>
      <c r="J2" s="78"/>
      <c r="K2" s="79"/>
      <c r="L2" s="23"/>
      <c r="M2" s="23"/>
      <c r="N2" s="3"/>
      <c r="O2" s="1"/>
      <c r="P2" s="1"/>
      <c r="Q2" s="1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customFormat="1" ht="22" thickTop="1" thickBot="1" x14ac:dyDescent="0.55000000000000004">
      <c r="A3" s="13" t="s">
        <v>0</v>
      </c>
      <c r="B3" s="87" t="s">
        <v>5</v>
      </c>
      <c r="C3" s="88"/>
      <c r="D3" s="83" t="s">
        <v>46</v>
      </c>
      <c r="E3" s="88"/>
      <c r="F3" s="97"/>
      <c r="G3" s="97"/>
      <c r="H3" s="1"/>
      <c r="I3" s="89">
        <v>45838</v>
      </c>
      <c r="J3" s="98"/>
      <c r="K3" s="99"/>
      <c r="L3" s="1"/>
      <c r="M3" s="1"/>
      <c r="N3" s="3"/>
      <c r="O3" s="1"/>
      <c r="P3" s="1"/>
      <c r="Q3" s="1"/>
    </row>
    <row r="4" spans="1:27" customFormat="1" ht="22" customHeight="1" thickTop="1" thickBot="1" x14ac:dyDescent="0.55000000000000004">
      <c r="A4" s="20"/>
      <c r="B4" s="13" t="s">
        <v>7</v>
      </c>
      <c r="C4" s="19" t="s">
        <v>8</v>
      </c>
      <c r="D4" s="13" t="s">
        <v>7</v>
      </c>
      <c r="E4" s="19" t="s">
        <v>8</v>
      </c>
      <c r="F4" s="3"/>
      <c r="G4" s="3"/>
      <c r="H4" s="1"/>
      <c r="I4" s="100"/>
      <c r="J4" s="101"/>
      <c r="K4" s="102"/>
      <c r="L4" s="1"/>
      <c r="M4" s="1"/>
      <c r="N4" s="3"/>
      <c r="O4" s="1"/>
      <c r="P4" s="1"/>
      <c r="Q4" s="1"/>
    </row>
    <row r="5" spans="1:27" ht="22" customHeight="1" thickTop="1" x14ac:dyDescent="0.5">
      <c r="A5" s="8">
        <v>1</v>
      </c>
      <c r="B5" s="3">
        <v>192</v>
      </c>
      <c r="C5" s="14">
        <v>121</v>
      </c>
      <c r="D5" s="3"/>
      <c r="E5" s="15"/>
      <c r="F5" s="3"/>
      <c r="G5" s="3"/>
      <c r="N5" s="3"/>
    </row>
    <row r="6" spans="1:27" ht="21.5" thickBot="1" x14ac:dyDescent="0.55000000000000004">
      <c r="A6" s="7">
        <v>2</v>
      </c>
      <c r="B6" s="3"/>
      <c r="C6" s="17"/>
      <c r="D6" s="11"/>
      <c r="E6" s="17"/>
      <c r="F6" s="3"/>
      <c r="G6" s="3"/>
      <c r="N6" s="3"/>
    </row>
    <row r="7" spans="1:27" ht="22" thickTop="1" thickBot="1" x14ac:dyDescent="0.55000000000000004">
      <c r="A7" s="8"/>
      <c r="B7" s="13"/>
      <c r="C7" s="5"/>
      <c r="D7" s="3"/>
      <c r="E7" s="18"/>
      <c r="F7" s="16"/>
      <c r="G7" s="16"/>
      <c r="H7" s="58"/>
      <c r="N7" s="3"/>
    </row>
    <row r="8" spans="1:27" ht="32" thickTop="1" thickBot="1" x14ac:dyDescent="0.75">
      <c r="A8" s="77" t="s">
        <v>24</v>
      </c>
      <c r="B8" s="79"/>
      <c r="C8" s="65"/>
      <c r="D8" s="77" t="s">
        <v>43</v>
      </c>
      <c r="E8" s="78"/>
      <c r="F8" s="78"/>
      <c r="G8" s="78"/>
      <c r="H8" s="78"/>
      <c r="I8" s="78"/>
      <c r="J8" s="79"/>
      <c r="K8" s="65"/>
      <c r="M8" s="65"/>
      <c r="N8" s="65"/>
    </row>
    <row r="9" spans="1:27" ht="22" thickTop="1" thickBot="1" x14ac:dyDescent="0.55000000000000004">
      <c r="A9" s="13" t="s">
        <v>0</v>
      </c>
      <c r="B9" s="68" t="s">
        <v>25</v>
      </c>
      <c r="C9" s="3"/>
      <c r="D9" s="13" t="s">
        <v>0</v>
      </c>
      <c r="E9" s="87" t="s">
        <v>5</v>
      </c>
      <c r="F9" s="83"/>
      <c r="G9" s="88"/>
      <c r="H9" s="87" t="s">
        <v>46</v>
      </c>
      <c r="I9" s="83"/>
      <c r="J9" s="88"/>
      <c r="K9" s="57"/>
      <c r="M9" s="57"/>
      <c r="N9" s="57"/>
    </row>
    <row r="10" spans="1:27" ht="22" thickTop="1" thickBot="1" x14ac:dyDescent="0.55000000000000004">
      <c r="A10" s="9">
        <v>1</v>
      </c>
      <c r="B10" s="9"/>
      <c r="C10" s="3"/>
      <c r="D10" s="20"/>
      <c r="E10" s="13" t="s">
        <v>44</v>
      </c>
      <c r="F10" s="18" t="s">
        <v>45</v>
      </c>
      <c r="G10" s="19" t="s">
        <v>47</v>
      </c>
      <c r="H10" s="13" t="s">
        <v>44</v>
      </c>
      <c r="I10" s="18" t="s">
        <v>45</v>
      </c>
      <c r="J10" s="19" t="s">
        <v>47</v>
      </c>
      <c r="K10" s="3"/>
      <c r="M10" s="3"/>
      <c r="N10" s="3"/>
      <c r="O10" s="3"/>
      <c r="P10" s="3"/>
    </row>
    <row r="11" spans="1:27" ht="32" thickTop="1" thickBot="1" x14ac:dyDescent="0.75">
      <c r="A11" s="8">
        <v>2</v>
      </c>
      <c r="B11" s="11"/>
      <c r="C11" s="6"/>
      <c r="D11" s="8">
        <v>1</v>
      </c>
      <c r="E11" s="10"/>
      <c r="F11" s="31"/>
      <c r="G11" s="14"/>
      <c r="H11" s="3"/>
      <c r="I11" s="29"/>
      <c r="J11" s="14"/>
      <c r="K11" s="3"/>
      <c r="M11" s="30"/>
      <c r="N11" s="3"/>
      <c r="O11" s="23"/>
      <c r="P11" s="23"/>
      <c r="Q11" s="23"/>
    </row>
    <row r="12" spans="1:27" ht="22" thickTop="1" thickBot="1" x14ac:dyDescent="0.55000000000000004">
      <c r="A12" s="5"/>
      <c r="B12" s="3"/>
      <c r="C12" s="3"/>
      <c r="D12" s="7">
        <v>2</v>
      </c>
      <c r="E12" s="11"/>
      <c r="F12" s="60"/>
      <c r="G12" s="17"/>
      <c r="H12" s="16"/>
      <c r="I12" s="60"/>
      <c r="J12" s="16"/>
      <c r="K12" s="6"/>
      <c r="M12" s="29"/>
      <c r="N12" s="3"/>
    </row>
    <row r="13" spans="1:27" ht="22" thickTop="1" thickBot="1" x14ac:dyDescent="0.55000000000000004">
      <c r="A13" s="16"/>
      <c r="B13" s="3"/>
      <c r="C13" s="3"/>
      <c r="D13" s="3"/>
      <c r="E13" s="3"/>
      <c r="F13" s="29"/>
      <c r="G13" s="3"/>
      <c r="H13" s="3"/>
      <c r="I13" s="29"/>
      <c r="J13" s="3"/>
      <c r="K13" s="3"/>
      <c r="M13" s="30"/>
      <c r="N13" s="3"/>
    </row>
    <row r="14" spans="1:27" ht="32" thickTop="1" thickBot="1" x14ac:dyDescent="0.75">
      <c r="A14" s="77" t="s">
        <v>42</v>
      </c>
      <c r="B14" s="78"/>
      <c r="C14" s="78"/>
      <c r="D14" s="78"/>
      <c r="E14" s="78"/>
      <c r="F14" s="69"/>
      <c r="G14" s="65"/>
      <c r="H14" s="3"/>
      <c r="I14" s="3"/>
      <c r="J14" s="3"/>
      <c r="K14" s="3"/>
      <c r="L14" s="3"/>
      <c r="M14" s="29"/>
      <c r="N14" s="3"/>
    </row>
    <row r="15" spans="1:27" ht="32" thickTop="1" thickBot="1" x14ac:dyDescent="0.75">
      <c r="A15" s="68" t="s">
        <v>0</v>
      </c>
      <c r="B15" s="87" t="s">
        <v>5</v>
      </c>
      <c r="C15" s="88"/>
      <c r="D15" s="87" t="s">
        <v>46</v>
      </c>
      <c r="E15" s="83"/>
      <c r="F15" s="70"/>
      <c r="G15" s="57"/>
      <c r="H15" s="23"/>
      <c r="I15" s="23"/>
      <c r="J15" s="23"/>
      <c r="K15" s="23"/>
      <c r="L15" s="23"/>
      <c r="M15" s="23"/>
      <c r="N15" s="3"/>
    </row>
    <row r="16" spans="1:27" ht="22" thickTop="1" thickBot="1" x14ac:dyDescent="0.55000000000000004">
      <c r="A16" s="9"/>
      <c r="B16" s="13" t="s">
        <v>20</v>
      </c>
      <c r="C16" s="26" t="s">
        <v>21</v>
      </c>
      <c r="D16" s="13" t="s">
        <v>20</v>
      </c>
      <c r="E16" s="66" t="s">
        <v>21</v>
      </c>
      <c r="F16" s="6"/>
      <c r="G16" s="62"/>
      <c r="N16" s="3"/>
    </row>
    <row r="17" spans="1:17" ht="21.5" thickTop="1" x14ac:dyDescent="0.5">
      <c r="A17" s="8">
        <v>1</v>
      </c>
      <c r="B17" s="6" t="e">
        <f>'Constants and Properties'!$H$4/397.3*AVERAGE($B$10:$C$10)*1/24*1000000*'Constants and Properties'!$E$4*(B5-C5)/1000</f>
        <v>#DIV/0!</v>
      </c>
      <c r="C17" s="28" t="e">
        <f>B17/'Constants and Properties'!$O$29*100</f>
        <v>#DIV/0!</v>
      </c>
      <c r="D17" s="10" t="e">
        <f>62.4*AVERAGE(#REF!)*1/24*1000000*1*(E5-D5)/1000</f>
        <v>#REF!</v>
      </c>
      <c r="E17" s="67" t="e">
        <f>D17/'Constants and Properties'!$F$21*100</f>
        <v>#REF!</v>
      </c>
      <c r="F17" s="6"/>
      <c r="G17" s="62"/>
      <c r="N17" s="3"/>
      <c r="O17" s="3"/>
      <c r="P17" s="30"/>
      <c r="Q17" s="3"/>
    </row>
    <row r="18" spans="1:17" ht="21.5" thickBot="1" x14ac:dyDescent="0.55000000000000004">
      <c r="A18" s="8">
        <v>2</v>
      </c>
      <c r="B18" s="11" t="e">
        <f>'Constants and Properties'!$H$4/397.3*AVERAGE($B$11:$C$11)*1/24*1000000*'Constants and Properties'!$E$4*(B6-C6)/1000</f>
        <v>#DIV/0!</v>
      </c>
      <c r="C18" s="27" t="e">
        <f>B18/'Constants and Properties'!$E$21*100</f>
        <v>#DIV/0!</v>
      </c>
      <c r="D18" s="11"/>
      <c r="E18" s="27">
        <f>D18/'Constants and Properties'!$F$21*100</f>
        <v>0</v>
      </c>
      <c r="F18" s="6"/>
      <c r="G18" s="62"/>
      <c r="N18" s="3"/>
      <c r="O18" s="3"/>
      <c r="P18" s="30"/>
      <c r="Q18" s="3"/>
    </row>
    <row r="19" spans="1:17" ht="21.5" thickTop="1" x14ac:dyDescent="0.5">
      <c r="A19" s="5"/>
      <c r="B19" s="3"/>
      <c r="C19" s="62"/>
      <c r="D19" s="3"/>
      <c r="E19" s="62"/>
      <c r="F19" s="3"/>
      <c r="G19" s="62"/>
      <c r="N19" s="3"/>
    </row>
    <row r="20" spans="1:17" ht="21" x14ac:dyDescent="0.5">
      <c r="N20" s="3"/>
    </row>
    <row r="24" spans="1:17" ht="21" x14ac:dyDescent="0.5">
      <c r="A24" s="3"/>
      <c r="B24" s="3"/>
      <c r="C24" s="62"/>
      <c r="D24" s="3"/>
      <c r="E24" s="62"/>
      <c r="F24" s="3"/>
      <c r="G24" s="62"/>
      <c r="N24" s="3"/>
    </row>
    <row r="25" spans="1:17" ht="21" x14ac:dyDescent="0.5">
      <c r="A25" s="3"/>
      <c r="D25" s="3"/>
      <c r="E25" s="62"/>
      <c r="F25" s="3"/>
      <c r="G25" s="62"/>
      <c r="N25" s="3"/>
      <c r="Q25" s="3"/>
    </row>
    <row r="26" spans="1:17" ht="21" x14ac:dyDescent="0.5">
      <c r="N26" s="3"/>
    </row>
    <row r="27" spans="1:17" ht="21" x14ac:dyDescent="0.5">
      <c r="N27" s="3"/>
    </row>
    <row r="28" spans="1:17" ht="21" x14ac:dyDescent="0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7" ht="21" x14ac:dyDescent="0.5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3" spans="23:25" x14ac:dyDescent="0.4">
      <c r="W33" s="2"/>
      <c r="X33" s="2"/>
      <c r="Y33" s="2"/>
    </row>
    <row r="34" spans="23:25" x14ac:dyDescent="0.4">
      <c r="W34" s="2"/>
      <c r="X34" s="2"/>
      <c r="Y34" s="2"/>
    </row>
    <row r="35" spans="23:25" x14ac:dyDescent="0.4">
      <c r="W35" s="2"/>
      <c r="X35" s="2"/>
      <c r="Y35" s="2"/>
    </row>
    <row r="36" spans="23:25" x14ac:dyDescent="0.4">
      <c r="W36" s="2"/>
      <c r="X36" s="2"/>
      <c r="Y36" s="2"/>
    </row>
    <row r="37" spans="23:25" x14ac:dyDescent="0.4">
      <c r="W37" s="2"/>
      <c r="X37" s="2"/>
      <c r="Y37" s="2"/>
    </row>
    <row r="38" spans="23:25" x14ac:dyDescent="0.4">
      <c r="W38" s="2"/>
      <c r="X38" s="2"/>
      <c r="Y38" s="2"/>
    </row>
    <row r="39" spans="23:25" x14ac:dyDescent="0.4">
      <c r="W39" s="2"/>
      <c r="X39" s="2"/>
      <c r="Y39" s="2"/>
    </row>
    <row r="41" spans="23:25" x14ac:dyDescent="0.4">
      <c r="W41" s="2"/>
      <c r="X41" s="2"/>
      <c r="Y41" s="2"/>
    </row>
    <row r="42" spans="23:25" x14ac:dyDescent="0.4">
      <c r="W42" s="2"/>
      <c r="X42" s="2"/>
    </row>
  </sheetData>
  <mergeCells count="14">
    <mergeCell ref="A8:B8"/>
    <mergeCell ref="A14:E14"/>
    <mergeCell ref="B15:C15"/>
    <mergeCell ref="D15:E15"/>
    <mergeCell ref="D8:J8"/>
    <mergeCell ref="E9:G9"/>
    <mergeCell ref="H9:J9"/>
    <mergeCell ref="A1:E1"/>
    <mergeCell ref="I2:K2"/>
    <mergeCell ref="B3:C3"/>
    <mergeCell ref="D3:E3"/>
    <mergeCell ref="F3:G3"/>
    <mergeCell ref="I3:K4"/>
    <mergeCell ref="A2:E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312A-0798-4127-83F6-864ACC03596E}">
  <dimension ref="A1:T52"/>
  <sheetViews>
    <sheetView tabSelected="1" topLeftCell="A28" zoomScale="60" zoomScaleNormal="60" workbookViewId="0">
      <selection activeCell="B35" sqref="B35"/>
    </sheetView>
  </sheetViews>
  <sheetFormatPr defaultRowHeight="14.5" x14ac:dyDescent="0.35"/>
  <cols>
    <col min="1" max="1" width="23.1796875" bestFit="1" customWidth="1"/>
    <col min="2" max="2" width="55.81640625" customWidth="1"/>
    <col min="3" max="3" width="24.81640625" customWidth="1"/>
    <col min="4" max="4" width="24.453125" customWidth="1"/>
    <col min="5" max="5" width="24" bestFit="1" customWidth="1"/>
    <col min="6" max="6" width="22.1796875" customWidth="1"/>
    <col min="7" max="7" width="15" customWidth="1"/>
    <col min="8" max="8" width="24.54296875" bestFit="1" customWidth="1"/>
    <col min="9" max="9" width="20.81640625" customWidth="1"/>
    <col min="10" max="10" width="18.7265625" customWidth="1"/>
    <col min="13" max="13" width="9.1796875" customWidth="1"/>
    <col min="14" max="14" width="50.453125" customWidth="1"/>
    <col min="15" max="15" width="49.81640625" customWidth="1"/>
    <col min="16" max="16" width="39.1796875" customWidth="1"/>
    <col min="17" max="17" width="27" customWidth="1"/>
    <col min="18" max="18" width="17.453125" customWidth="1"/>
    <col min="19" max="19" width="17.7265625" customWidth="1"/>
    <col min="20" max="20" width="21.26953125" customWidth="1"/>
  </cols>
  <sheetData>
    <row r="1" spans="1:9" ht="34.5" customHeight="1" thickBot="1" x14ac:dyDescent="0.4">
      <c r="A1" s="103" t="s">
        <v>66</v>
      </c>
      <c r="B1" s="103"/>
      <c r="C1" s="103"/>
      <c r="D1" s="103"/>
      <c r="E1" s="103"/>
      <c r="F1" s="103"/>
      <c r="G1" s="103"/>
      <c r="H1" s="104"/>
    </row>
    <row r="2" spans="1:9" ht="31.5" thickTop="1" x14ac:dyDescent="0.7">
      <c r="A2" s="81" t="s">
        <v>41</v>
      </c>
      <c r="B2" s="81"/>
      <c r="C2" s="81"/>
    </row>
    <row r="3" spans="1:9" ht="21" x14ac:dyDescent="0.5">
      <c r="A3" s="3" t="s">
        <v>27</v>
      </c>
      <c r="B3" s="3" t="s">
        <v>13</v>
      </c>
      <c r="C3" s="3" t="s">
        <v>14</v>
      </c>
      <c r="D3" s="3" t="s">
        <v>15</v>
      </c>
      <c r="E3" s="22" t="s">
        <v>16</v>
      </c>
      <c r="F3" s="3" t="s">
        <v>17</v>
      </c>
      <c r="G3" s="3" t="s">
        <v>19</v>
      </c>
      <c r="H3" s="22" t="s">
        <v>18</v>
      </c>
      <c r="I3" s="3"/>
    </row>
    <row r="4" spans="1:9" ht="21" x14ac:dyDescent="0.5">
      <c r="A4" s="3" t="s">
        <v>12</v>
      </c>
      <c r="B4" s="3">
        <v>2.249E-2</v>
      </c>
      <c r="C4" s="3">
        <v>0.24</v>
      </c>
      <c r="D4" s="3">
        <f t="shared" ref="D4:D17" si="0">B4*C4</f>
        <v>5.3975999999999998E-3</v>
      </c>
      <c r="E4" s="22">
        <f>SUM(D4:D17)</f>
        <v>0.54375470999999997</v>
      </c>
      <c r="F4" s="3">
        <v>28</v>
      </c>
      <c r="G4" s="3">
        <f>'Constants and Properties'!B4*F4</f>
        <v>0.62971999999999995</v>
      </c>
      <c r="H4" s="22">
        <f>SUM(G4:G17)</f>
        <v>26.008810389999994</v>
      </c>
      <c r="I4" s="3"/>
    </row>
    <row r="5" spans="1:9" ht="21" x14ac:dyDescent="0.5">
      <c r="A5" s="3" t="s">
        <v>28</v>
      </c>
      <c r="B5" s="3">
        <v>0.59445999999999999</v>
      </c>
      <c r="C5" s="3">
        <v>0.55200000000000005</v>
      </c>
      <c r="D5" s="3">
        <f t="shared" si="0"/>
        <v>0.32814192000000003</v>
      </c>
      <c r="E5" s="3"/>
      <c r="F5" s="3">
        <v>16.05</v>
      </c>
      <c r="G5" s="3">
        <f>'Constants and Properties'!B5*F5</f>
        <v>9.5410830000000004</v>
      </c>
      <c r="H5" s="3"/>
      <c r="I5" s="3"/>
    </row>
    <row r="6" spans="1:9" ht="21" x14ac:dyDescent="0.5">
      <c r="A6" s="3" t="s">
        <v>29</v>
      </c>
      <c r="B6" s="3">
        <v>9.9699999999999997E-3</v>
      </c>
      <c r="C6" s="3">
        <v>0.219</v>
      </c>
      <c r="D6" s="3">
        <f t="shared" si="0"/>
        <v>2.1834300000000001E-3</v>
      </c>
      <c r="E6" s="3"/>
      <c r="F6" s="3">
        <v>44</v>
      </c>
      <c r="G6" s="3">
        <f>'Constants and Properties'!B6*F6</f>
        <v>0.43867999999999996</v>
      </c>
      <c r="H6" s="3"/>
      <c r="I6" s="3"/>
    </row>
    <row r="7" spans="1:9" ht="21" x14ac:dyDescent="0.5">
      <c r="A7" s="3" t="s">
        <v>30</v>
      </c>
      <c r="B7" s="3">
        <v>0.19134999999999999</v>
      </c>
      <c r="C7" s="3">
        <v>0.58399999999999996</v>
      </c>
      <c r="D7" s="3">
        <f t="shared" si="0"/>
        <v>0.11174839999999998</v>
      </c>
      <c r="E7" s="3"/>
      <c r="F7" s="3">
        <v>30</v>
      </c>
      <c r="G7" s="3">
        <f>'Constants and Properties'!B7*F7</f>
        <v>5.7404999999999999</v>
      </c>
      <c r="H7" s="3"/>
      <c r="I7" s="3"/>
    </row>
    <row r="8" spans="1:9" ht="21" x14ac:dyDescent="0.5">
      <c r="A8" s="3" t="s">
        <v>31</v>
      </c>
      <c r="B8" s="3">
        <v>0.10027999999999999</v>
      </c>
      <c r="C8" s="3">
        <v>0.53300000000000003</v>
      </c>
      <c r="D8" s="3">
        <f t="shared" si="0"/>
        <v>5.3449240000000002E-2</v>
      </c>
      <c r="E8" s="3"/>
      <c r="F8" s="3">
        <v>44.1</v>
      </c>
      <c r="G8" s="3">
        <f>'Constants and Properties'!B8*F8</f>
        <v>4.4223479999999995</v>
      </c>
      <c r="H8" s="3"/>
      <c r="I8" s="3"/>
    </row>
    <row r="9" spans="1:9" ht="21" x14ac:dyDescent="0.5">
      <c r="A9" s="3" t="s">
        <v>33</v>
      </c>
      <c r="B9" s="3">
        <v>1.257E-2</v>
      </c>
      <c r="C9" s="3">
        <v>0.53500000000000003</v>
      </c>
      <c r="D9" s="3">
        <f t="shared" si="0"/>
        <v>6.7249500000000004E-3</v>
      </c>
      <c r="E9" s="3"/>
      <c r="F9" s="3">
        <v>58.124000000000002</v>
      </c>
      <c r="G9" s="3">
        <f>'Constants and Properties'!B9*F9</f>
        <v>0.73061867999999996</v>
      </c>
      <c r="H9" s="3"/>
      <c r="I9" s="3"/>
    </row>
    <row r="10" spans="1:9" ht="21" x14ac:dyDescent="0.5">
      <c r="A10" s="3" t="s">
        <v>34</v>
      </c>
      <c r="B10" s="3">
        <v>3.9550000000000002E-2</v>
      </c>
      <c r="C10" s="3">
        <v>0.51800000000000002</v>
      </c>
      <c r="D10" s="3">
        <f t="shared" si="0"/>
        <v>2.0486900000000002E-2</v>
      </c>
      <c r="E10" s="3"/>
      <c r="F10" s="3">
        <v>58.124000000000002</v>
      </c>
      <c r="G10" s="3">
        <f>'Constants and Properties'!B10*F10</f>
        <v>2.2988042000000002</v>
      </c>
      <c r="H10" s="3"/>
      <c r="I10" s="3"/>
    </row>
    <row r="11" spans="1:9" ht="21" x14ac:dyDescent="0.5">
      <c r="A11" s="3" t="s">
        <v>35</v>
      </c>
      <c r="B11" s="3">
        <v>9.1500000000000001E-3</v>
      </c>
      <c r="C11" s="3">
        <v>0.56699999999999995</v>
      </c>
      <c r="D11" s="3">
        <f t="shared" si="0"/>
        <v>5.1880499999999996E-3</v>
      </c>
      <c r="E11" s="3"/>
      <c r="F11" s="3">
        <v>72.150999999999996</v>
      </c>
      <c r="G11" s="3">
        <f>'Constants and Properties'!B11*F11</f>
        <v>0.66018164999999995</v>
      </c>
      <c r="H11" s="3"/>
      <c r="I11" s="3"/>
    </row>
    <row r="12" spans="1:9" ht="21" x14ac:dyDescent="0.5">
      <c r="A12" s="3" t="s">
        <v>36</v>
      </c>
      <c r="B12" s="3">
        <v>1.482E-2</v>
      </c>
      <c r="C12" s="3">
        <v>0.52200000000000002</v>
      </c>
      <c r="D12" s="3">
        <f t="shared" si="0"/>
        <v>7.7360400000000005E-3</v>
      </c>
      <c r="E12" s="3"/>
      <c r="F12" s="3">
        <v>72.150999999999996</v>
      </c>
      <c r="G12" s="3">
        <f>'Constants and Properties'!B12*F12</f>
        <v>1.0692778199999999</v>
      </c>
      <c r="H12" s="3"/>
      <c r="I12" s="3"/>
    </row>
    <row r="13" spans="1:9" ht="21" x14ac:dyDescent="0.5">
      <c r="A13" s="3" t="s">
        <v>32</v>
      </c>
      <c r="B13" s="3">
        <v>4.3699999999999998E-3</v>
      </c>
      <c r="C13" s="3">
        <v>0.505</v>
      </c>
      <c r="D13" s="3">
        <f t="shared" si="0"/>
        <v>2.2068499999999998E-3</v>
      </c>
      <c r="E13" s="3"/>
      <c r="F13" s="3">
        <v>86.18</v>
      </c>
      <c r="G13" s="3">
        <f>'Constants and Properties'!B13*F13</f>
        <v>0.37660660000000001</v>
      </c>
      <c r="H13" s="3"/>
      <c r="I13" s="3"/>
    </row>
    <row r="14" spans="1:9" ht="21" x14ac:dyDescent="0.5">
      <c r="A14" s="3" t="s">
        <v>37</v>
      </c>
      <c r="B14" s="3">
        <v>8.5999999999999998E-4</v>
      </c>
      <c r="C14" s="3">
        <v>0.497</v>
      </c>
      <c r="D14" s="3">
        <f t="shared" si="0"/>
        <v>4.2741999999999997E-4</v>
      </c>
      <c r="E14" s="3"/>
      <c r="F14" s="3">
        <v>100</v>
      </c>
      <c r="G14" s="3">
        <f>'Constants and Properties'!B14*F14</f>
        <v>8.5999999999999993E-2</v>
      </c>
      <c r="H14" s="3"/>
      <c r="I14" s="3"/>
    </row>
    <row r="15" spans="1:9" ht="21" x14ac:dyDescent="0.5">
      <c r="A15" s="3" t="s">
        <v>38</v>
      </c>
      <c r="B15" s="3">
        <v>1.2E-4</v>
      </c>
      <c r="C15" s="3">
        <v>0.49199999999999999</v>
      </c>
      <c r="D15" s="3">
        <f t="shared" si="0"/>
        <v>5.9040000000000004E-5</v>
      </c>
      <c r="E15" s="3"/>
      <c r="F15" s="3">
        <v>114.232</v>
      </c>
      <c r="G15" s="3">
        <f>'Constants and Properties'!B15*F15</f>
        <v>1.3707840000000001E-2</v>
      </c>
      <c r="H15" s="3"/>
      <c r="I15" s="3"/>
    </row>
    <row r="16" spans="1:9" ht="21" x14ac:dyDescent="0.5">
      <c r="A16" s="3" t="s">
        <v>39</v>
      </c>
      <c r="B16" s="3">
        <v>1.0000000000000001E-5</v>
      </c>
      <c r="C16" s="3">
        <v>0.48699999999999999</v>
      </c>
      <c r="D16" s="3">
        <f t="shared" si="0"/>
        <v>4.87E-6</v>
      </c>
      <c r="E16" s="3"/>
      <c r="F16" s="3">
        <v>128.26</v>
      </c>
      <c r="G16" s="3">
        <f>'Constants and Properties'!B16*F16</f>
        <v>1.2826000000000001E-3</v>
      </c>
      <c r="H16" s="3"/>
      <c r="I16" s="3"/>
    </row>
    <row r="17" spans="1:20" ht="21" x14ac:dyDescent="0.5">
      <c r="A17" s="3" t="s">
        <v>40</v>
      </c>
      <c r="B17" s="3">
        <v>0</v>
      </c>
      <c r="C17" s="3">
        <v>0.48299999999999998</v>
      </c>
      <c r="D17" s="3">
        <f t="shared" si="0"/>
        <v>0</v>
      </c>
      <c r="E17" s="3"/>
      <c r="F17" s="3">
        <v>142</v>
      </c>
      <c r="G17" s="3">
        <f>'Constants and Properties'!B17*F17</f>
        <v>0</v>
      </c>
      <c r="H17" s="3"/>
      <c r="I17" s="3"/>
    </row>
    <row r="19" spans="1:20" ht="31" x14ac:dyDescent="0.7">
      <c r="A19" s="105" t="s">
        <v>57</v>
      </c>
      <c r="B19" s="105"/>
      <c r="C19" s="105"/>
      <c r="D19" s="105"/>
      <c r="E19" s="105"/>
      <c r="F19" s="105"/>
      <c r="G19" s="105"/>
    </row>
    <row r="20" spans="1:20" ht="21" x14ac:dyDescent="0.5">
      <c r="A20" s="3" t="s">
        <v>10</v>
      </c>
      <c r="B20" s="3" t="s">
        <v>1</v>
      </c>
      <c r="C20" s="3" t="s">
        <v>2</v>
      </c>
      <c r="D20" s="3" t="s">
        <v>3</v>
      </c>
      <c r="E20" s="3" t="s">
        <v>4</v>
      </c>
      <c r="F20" s="3" t="s">
        <v>5</v>
      </c>
      <c r="G20" s="3" t="s">
        <v>6</v>
      </c>
    </row>
    <row r="21" spans="1:20" ht="21" x14ac:dyDescent="0.5">
      <c r="A21" s="3" t="s">
        <v>11</v>
      </c>
      <c r="B21" s="3">
        <f>AVERAGE('Inlet coolers (5)'!B23:B25)</f>
        <v>2073.0938491115617</v>
      </c>
      <c r="C21" s="3">
        <f>AVERAGE('Inlet coolers (5)'!D23:D25)</f>
        <v>1436.6250512293484</v>
      </c>
      <c r="D21" s="3">
        <f>AVERAGE('Inlet coolers (5)'!F23:F25)</f>
        <v>1663.5389473476189</v>
      </c>
      <c r="E21" s="3">
        <f>AVERAGE('Inlet coolers (5)'!H23:H25)</f>
        <v>1791.600249076663</v>
      </c>
      <c r="F21" s="3">
        <v>2654</v>
      </c>
      <c r="G21" s="3">
        <v>4139.3</v>
      </c>
    </row>
    <row r="22" spans="1:20" ht="31" x14ac:dyDescent="0.7">
      <c r="A22" s="3" t="s">
        <v>9</v>
      </c>
      <c r="B22" s="3">
        <f>AVERAGE('Inlet coolers (5)'!B26:B27)</f>
        <v>842.8666329131413</v>
      </c>
      <c r="C22" s="3">
        <f>AVERAGE('Inlet coolers (5)'!D26:D27)</f>
        <v>940.00683248600262</v>
      </c>
      <c r="D22" s="3">
        <f>AVERAGE('Inlet coolers (5)'!F26:F27)</f>
        <v>1269.4780018101919</v>
      </c>
      <c r="E22" s="3">
        <f>AVERAGE('Inlet coolers (5)'!H26:H27)</f>
        <v>1107.7874453755244</v>
      </c>
      <c r="F22" s="3">
        <v>1305.8</v>
      </c>
      <c r="G22" s="3">
        <v>2101.6</v>
      </c>
      <c r="N22" s="105" t="s">
        <v>68</v>
      </c>
      <c r="O22" s="105"/>
      <c r="P22" s="105"/>
      <c r="Q22" s="105"/>
      <c r="R22" s="105"/>
      <c r="S22" s="105"/>
      <c r="T22" s="105"/>
    </row>
    <row r="23" spans="1:20" ht="21" x14ac:dyDescent="0.5">
      <c r="N23" s="3" t="s">
        <v>10</v>
      </c>
      <c r="O23" s="3" t="s">
        <v>1</v>
      </c>
      <c r="P23" s="3" t="s">
        <v>2</v>
      </c>
      <c r="Q23" s="3" t="s">
        <v>3</v>
      </c>
      <c r="R23" s="3" t="s">
        <v>4</v>
      </c>
      <c r="S23" s="3" t="s">
        <v>5</v>
      </c>
      <c r="T23" s="3" t="s">
        <v>6</v>
      </c>
    </row>
    <row r="24" spans="1:20" ht="31" x14ac:dyDescent="0.7">
      <c r="A24" s="105" t="s">
        <v>58</v>
      </c>
      <c r="B24" s="105"/>
      <c r="C24" s="105"/>
      <c r="D24" s="105"/>
      <c r="E24" s="105"/>
      <c r="F24" s="105"/>
      <c r="G24" s="105"/>
      <c r="H24" s="105"/>
      <c r="I24" s="105"/>
      <c r="J24" s="105"/>
      <c r="N24" s="3" t="s">
        <v>11</v>
      </c>
      <c r="O24" s="3">
        <v>3050</v>
      </c>
      <c r="P24" s="3">
        <v>2516</v>
      </c>
      <c r="Q24" s="3">
        <v>2958</v>
      </c>
      <c r="R24" s="3">
        <v>4103</v>
      </c>
      <c r="S24" s="3">
        <v>2654</v>
      </c>
      <c r="T24" s="3">
        <v>4139.3</v>
      </c>
    </row>
    <row r="25" spans="1:20" ht="21" x14ac:dyDescent="0.5">
      <c r="A25" s="3" t="s">
        <v>0</v>
      </c>
      <c r="B25" s="97" t="s">
        <v>1</v>
      </c>
      <c r="C25" s="97"/>
      <c r="D25" s="97" t="s">
        <v>2</v>
      </c>
      <c r="E25" s="97"/>
      <c r="F25" s="97" t="s">
        <v>3</v>
      </c>
      <c r="G25" s="97"/>
      <c r="H25" s="97" t="s">
        <v>22</v>
      </c>
      <c r="I25" s="97"/>
      <c r="J25" s="3" t="s">
        <v>49</v>
      </c>
      <c r="N25" s="3" t="s">
        <v>9</v>
      </c>
      <c r="O25" s="3">
        <v>1050.0999999999999</v>
      </c>
      <c r="P25" s="3">
        <v>1270.5999999999999</v>
      </c>
      <c r="Q25" s="3">
        <v>1561</v>
      </c>
      <c r="R25" s="3">
        <v>2433.5</v>
      </c>
      <c r="S25" s="3">
        <v>1305.8</v>
      </c>
      <c r="T25" s="3">
        <v>2101.6</v>
      </c>
    </row>
    <row r="26" spans="1:20" ht="21" x14ac:dyDescent="0.5">
      <c r="A26" s="1"/>
      <c r="B26" s="3" t="s">
        <v>7</v>
      </c>
      <c r="C26" s="3" t="s">
        <v>8</v>
      </c>
      <c r="D26" s="3" t="s">
        <v>7</v>
      </c>
      <c r="E26" s="3" t="s">
        <v>8</v>
      </c>
      <c r="F26" s="3" t="s">
        <v>7</v>
      </c>
      <c r="G26" s="3" t="s">
        <v>8</v>
      </c>
      <c r="H26" s="3" t="s">
        <v>7</v>
      </c>
      <c r="I26" s="3" t="s">
        <v>8</v>
      </c>
      <c r="J26" s="3" t="s">
        <v>50</v>
      </c>
    </row>
    <row r="27" spans="1:20" ht="31" x14ac:dyDescent="0.7">
      <c r="A27" s="3">
        <v>1</v>
      </c>
      <c r="B27" s="3" t="s">
        <v>56</v>
      </c>
      <c r="C27" s="3">
        <v>752111</v>
      </c>
      <c r="D27" s="3" t="s">
        <v>53</v>
      </c>
      <c r="E27" s="3">
        <v>752112</v>
      </c>
      <c r="F27" s="3" t="s">
        <v>53</v>
      </c>
      <c r="G27" s="3">
        <v>752113</v>
      </c>
      <c r="H27" s="3" t="s">
        <v>53</v>
      </c>
      <c r="I27" s="3">
        <v>752114</v>
      </c>
      <c r="J27" s="3">
        <v>752101</v>
      </c>
      <c r="N27" s="105" t="s">
        <v>69</v>
      </c>
      <c r="O27" s="105"/>
      <c r="P27" s="105"/>
      <c r="Q27" s="105"/>
    </row>
    <row r="28" spans="1:20" ht="21" x14ac:dyDescent="0.5">
      <c r="A28" s="3">
        <v>2</v>
      </c>
      <c r="B28" s="3" t="s">
        <v>51</v>
      </c>
      <c r="C28" s="3">
        <v>752211</v>
      </c>
      <c r="D28" s="3" t="s">
        <v>51</v>
      </c>
      <c r="E28" s="3">
        <v>752212</v>
      </c>
      <c r="F28" s="3" t="s">
        <v>51</v>
      </c>
      <c r="G28" s="3">
        <v>752213</v>
      </c>
      <c r="H28" s="3" t="s">
        <v>51</v>
      </c>
      <c r="I28" s="3">
        <v>752214</v>
      </c>
      <c r="J28" s="3">
        <v>752201</v>
      </c>
      <c r="N28" s="3" t="s">
        <v>10</v>
      </c>
      <c r="O28" s="3" t="s">
        <v>4</v>
      </c>
      <c r="P28" s="3" t="s">
        <v>5</v>
      </c>
      <c r="Q28" s="3" t="s">
        <v>46</v>
      </c>
    </row>
    <row r="29" spans="1:20" ht="21" x14ac:dyDescent="0.5">
      <c r="A29" s="3">
        <v>3</v>
      </c>
      <c r="B29" s="3" t="s">
        <v>51</v>
      </c>
      <c r="C29" s="3" t="s">
        <v>51</v>
      </c>
      <c r="D29" s="3" t="s">
        <v>51</v>
      </c>
      <c r="E29" s="3" t="s">
        <v>51</v>
      </c>
      <c r="F29" s="3" t="s">
        <v>51</v>
      </c>
      <c r="G29" s="3" t="s">
        <v>51</v>
      </c>
      <c r="H29" s="3" t="s">
        <v>51</v>
      </c>
      <c r="I29" s="3" t="s">
        <v>51</v>
      </c>
      <c r="J29" s="3" t="s">
        <v>51</v>
      </c>
      <c r="N29" s="3" t="s">
        <v>60</v>
      </c>
      <c r="O29" s="3">
        <v>2431.6</v>
      </c>
      <c r="P29" s="3">
        <v>187.07</v>
      </c>
      <c r="Q29" s="3">
        <v>136.11000000000001</v>
      </c>
    </row>
    <row r="30" spans="1:20" ht="21" x14ac:dyDescent="0.5">
      <c r="A30" s="3">
        <v>4</v>
      </c>
      <c r="B30" s="3" t="s">
        <v>51</v>
      </c>
      <c r="C30" s="3" t="s">
        <v>51</v>
      </c>
      <c r="D30" s="3" t="s">
        <v>51</v>
      </c>
      <c r="E30" s="3" t="s">
        <v>51</v>
      </c>
      <c r="F30" s="3" t="s">
        <v>51</v>
      </c>
      <c r="G30" s="3" t="s">
        <v>51</v>
      </c>
      <c r="H30" s="3" t="s">
        <v>51</v>
      </c>
      <c r="I30" s="3" t="s">
        <v>51</v>
      </c>
      <c r="J30" s="3" t="s">
        <v>51</v>
      </c>
    </row>
    <row r="31" spans="1:20" ht="31" x14ac:dyDescent="0.7">
      <c r="A31" s="3">
        <v>5</v>
      </c>
      <c r="B31" s="3" t="s">
        <v>52</v>
      </c>
      <c r="C31" s="3" t="s">
        <v>52</v>
      </c>
      <c r="D31" s="3" t="s">
        <v>52</v>
      </c>
      <c r="E31" s="3" t="s">
        <v>52</v>
      </c>
      <c r="F31" s="3" t="s">
        <v>52</v>
      </c>
      <c r="G31" s="3" t="s">
        <v>52</v>
      </c>
      <c r="H31" s="3" t="s">
        <v>52</v>
      </c>
      <c r="I31" s="3" t="s">
        <v>52</v>
      </c>
      <c r="J31" s="3" t="s">
        <v>52</v>
      </c>
      <c r="N31" s="105" t="s">
        <v>70</v>
      </c>
      <c r="O31" s="105"/>
      <c r="P31" s="105"/>
    </row>
    <row r="32" spans="1:20" ht="21" x14ac:dyDescent="0.5">
      <c r="A32" s="3"/>
      <c r="B32" s="3"/>
      <c r="C32" s="3"/>
      <c r="D32" s="3"/>
      <c r="E32" s="3"/>
      <c r="F32" s="3"/>
      <c r="G32" s="3"/>
      <c r="H32" s="3"/>
      <c r="I32" s="3"/>
      <c r="J32" s="3"/>
      <c r="N32" s="3" t="s">
        <v>10</v>
      </c>
      <c r="O32" s="3" t="s">
        <v>5</v>
      </c>
      <c r="P32" s="3" t="s">
        <v>46</v>
      </c>
    </row>
    <row r="33" spans="1:16" ht="31" x14ac:dyDescent="0.7">
      <c r="A33" s="105" t="s">
        <v>71</v>
      </c>
      <c r="B33" s="105"/>
      <c r="C33" s="105"/>
      <c r="D33" s="105"/>
      <c r="E33" s="1"/>
      <c r="F33" s="1"/>
      <c r="G33" s="1"/>
      <c r="N33" s="3" t="s">
        <v>64</v>
      </c>
      <c r="O33" s="3">
        <v>2971.3</v>
      </c>
      <c r="P33" s="3">
        <v>395.9</v>
      </c>
    </row>
    <row r="34" spans="1:16" ht="21" x14ac:dyDescent="0.5">
      <c r="A34" s="3" t="s">
        <v>10</v>
      </c>
      <c r="B34" s="3" t="s">
        <v>4</v>
      </c>
      <c r="C34" s="3" t="s">
        <v>5</v>
      </c>
      <c r="D34" s="3" t="s">
        <v>46</v>
      </c>
      <c r="E34" s="3"/>
      <c r="F34" s="3"/>
      <c r="G34" s="3"/>
    </row>
    <row r="35" spans="1:16" ht="21" x14ac:dyDescent="0.5">
      <c r="A35" s="3" t="s">
        <v>60</v>
      </c>
      <c r="B35" s="3">
        <v>1698.0239812109901</v>
      </c>
      <c r="C35" s="3">
        <v>187.07</v>
      </c>
      <c r="D35" s="3">
        <v>136.11000000000001</v>
      </c>
      <c r="E35" s="3"/>
      <c r="F35" s="3"/>
      <c r="G35" s="3"/>
    </row>
    <row r="36" spans="1:16" ht="21" x14ac:dyDescent="0.5">
      <c r="A36" s="3"/>
      <c r="B36" s="3"/>
      <c r="C36" s="3"/>
      <c r="D36" s="3"/>
      <c r="E36" s="3"/>
      <c r="F36" s="3"/>
      <c r="G36" s="3"/>
    </row>
    <row r="37" spans="1:16" ht="31" x14ac:dyDescent="0.7">
      <c r="A37" s="105" t="s">
        <v>59</v>
      </c>
      <c r="B37" s="105"/>
      <c r="C37" s="105"/>
      <c r="D37" s="105"/>
      <c r="E37" s="105"/>
      <c r="F37" s="105"/>
      <c r="G37" s="105"/>
      <c r="H37" s="105"/>
      <c r="I37" s="23"/>
      <c r="J37" s="23"/>
    </row>
    <row r="38" spans="1:16" ht="21" x14ac:dyDescent="0.5">
      <c r="A38" s="3" t="s">
        <v>0</v>
      </c>
      <c r="B38" s="97" t="s">
        <v>4</v>
      </c>
      <c r="C38" s="97"/>
      <c r="D38" s="97" t="s">
        <v>5</v>
      </c>
      <c r="E38" s="97"/>
      <c r="F38" s="97" t="s">
        <v>46</v>
      </c>
      <c r="G38" s="97"/>
      <c r="H38" s="57" t="s">
        <v>49</v>
      </c>
      <c r="I38" s="57"/>
      <c r="J38" s="3"/>
    </row>
    <row r="39" spans="1:16" ht="21" x14ac:dyDescent="0.5">
      <c r="A39" s="1"/>
      <c r="B39" s="3" t="s">
        <v>7</v>
      </c>
      <c r="C39" s="3" t="s">
        <v>8</v>
      </c>
      <c r="D39" s="3" t="s">
        <v>7</v>
      </c>
      <c r="E39" s="3" t="s">
        <v>8</v>
      </c>
      <c r="F39" s="3" t="s">
        <v>7</v>
      </c>
      <c r="G39" s="3" t="s">
        <v>8</v>
      </c>
      <c r="H39" s="3" t="s">
        <v>50</v>
      </c>
      <c r="I39" s="3"/>
      <c r="J39" s="3"/>
    </row>
    <row r="40" spans="1:16" ht="21" x14ac:dyDescent="0.5">
      <c r="A40" s="3">
        <v>1</v>
      </c>
      <c r="B40" s="3" t="s">
        <v>61</v>
      </c>
      <c r="C40" s="3">
        <v>758113</v>
      </c>
      <c r="D40" s="3" t="s">
        <v>53</v>
      </c>
      <c r="E40" s="3" t="s">
        <v>53</v>
      </c>
      <c r="F40" s="3" t="s">
        <v>67</v>
      </c>
      <c r="G40" s="3" t="s">
        <v>67</v>
      </c>
      <c r="H40" s="3">
        <v>758111</v>
      </c>
      <c r="I40" s="3"/>
      <c r="J40" s="3"/>
    </row>
    <row r="41" spans="1:16" ht="21" x14ac:dyDescent="0.5">
      <c r="A41" s="3">
        <v>2</v>
      </c>
      <c r="B41" s="3"/>
      <c r="C41" s="3"/>
      <c r="D41" s="3"/>
      <c r="E41" s="3"/>
      <c r="F41" s="3"/>
      <c r="G41" s="3"/>
      <c r="H41" s="3"/>
      <c r="I41" s="3"/>
      <c r="J41" s="3"/>
    </row>
    <row r="42" spans="1:16" ht="21" x14ac:dyDescent="0.5">
      <c r="A42" s="3">
        <v>3</v>
      </c>
      <c r="B42" s="3"/>
      <c r="C42" s="3"/>
      <c r="D42" s="3"/>
      <c r="E42" s="3"/>
      <c r="F42" s="3"/>
      <c r="G42" s="3"/>
      <c r="H42" s="3"/>
      <c r="I42" s="3"/>
      <c r="J42" s="3"/>
    </row>
    <row r="44" spans="1:16" ht="31" x14ac:dyDescent="0.7">
      <c r="A44" s="105" t="s">
        <v>63</v>
      </c>
      <c r="B44" s="105"/>
      <c r="C44" s="105"/>
      <c r="D44" s="1"/>
      <c r="E44" s="1"/>
      <c r="F44" s="1"/>
      <c r="G44" s="1"/>
    </row>
    <row r="45" spans="1:16" ht="21" x14ac:dyDescent="0.5">
      <c r="A45" s="3" t="s">
        <v>10</v>
      </c>
      <c r="B45" s="3" t="s">
        <v>5</v>
      </c>
      <c r="C45" s="3" t="s">
        <v>46</v>
      </c>
      <c r="E45" s="3"/>
      <c r="F45" s="3"/>
      <c r="G45" s="3"/>
    </row>
    <row r="46" spans="1:16" ht="21" x14ac:dyDescent="0.5">
      <c r="A46" s="3" t="s">
        <v>64</v>
      </c>
      <c r="B46" s="3">
        <v>2971.3</v>
      </c>
      <c r="C46" s="3">
        <v>395.9</v>
      </c>
      <c r="E46" s="3"/>
      <c r="F46" s="3"/>
      <c r="G46" s="3"/>
    </row>
    <row r="47" spans="1:16" ht="21" x14ac:dyDescent="0.5">
      <c r="A47" s="3"/>
      <c r="B47" s="3"/>
      <c r="C47" s="3"/>
      <c r="D47" s="3"/>
      <c r="E47" s="3"/>
      <c r="F47" s="3"/>
      <c r="G47" s="3"/>
    </row>
    <row r="48" spans="1:16" ht="31" x14ac:dyDescent="0.7">
      <c r="A48" s="105" t="s">
        <v>65</v>
      </c>
      <c r="B48" s="105"/>
      <c r="C48" s="105"/>
      <c r="D48" s="105"/>
      <c r="E48" s="105"/>
      <c r="F48" s="23"/>
      <c r="G48" s="23"/>
      <c r="H48" s="23"/>
    </row>
    <row r="49" spans="1:6" ht="21" x14ac:dyDescent="0.5">
      <c r="A49" s="3" t="s">
        <v>0</v>
      </c>
      <c r="B49" s="97" t="s">
        <v>5</v>
      </c>
      <c r="C49" s="97"/>
      <c r="D49" s="97" t="s">
        <v>46</v>
      </c>
      <c r="E49" s="97"/>
      <c r="F49" s="57"/>
    </row>
    <row r="50" spans="1:6" ht="21" x14ac:dyDescent="0.5">
      <c r="A50" s="1"/>
      <c r="B50" s="3" t="s">
        <v>7</v>
      </c>
      <c r="C50" s="3" t="s">
        <v>8</v>
      </c>
      <c r="D50" s="3" t="s">
        <v>7</v>
      </c>
      <c r="E50" s="3" t="s">
        <v>8</v>
      </c>
      <c r="F50" s="3"/>
    </row>
    <row r="51" spans="1:6" ht="21" x14ac:dyDescent="0.5">
      <c r="A51" s="3">
        <v>1</v>
      </c>
      <c r="B51" s="3" t="s">
        <v>53</v>
      </c>
      <c r="C51" s="3" t="s">
        <v>53</v>
      </c>
      <c r="D51" s="3" t="s">
        <v>67</v>
      </c>
      <c r="E51" s="3" t="s">
        <v>67</v>
      </c>
      <c r="F51" s="3"/>
    </row>
    <row r="52" spans="1:6" ht="21" x14ac:dyDescent="0.5">
      <c r="A52" s="3">
        <v>2</v>
      </c>
      <c r="B52" s="3"/>
      <c r="C52" s="3"/>
      <c r="D52" s="3"/>
      <c r="E52" s="3"/>
      <c r="F52" s="3"/>
    </row>
  </sheetData>
  <mergeCells count="20">
    <mergeCell ref="A44:C44"/>
    <mergeCell ref="N22:T22"/>
    <mergeCell ref="N31:P31"/>
    <mergeCell ref="A33:D33"/>
    <mergeCell ref="B49:C49"/>
    <mergeCell ref="D49:E49"/>
    <mergeCell ref="A48:E48"/>
    <mergeCell ref="N27:Q27"/>
    <mergeCell ref="B38:C38"/>
    <mergeCell ref="D38:E38"/>
    <mergeCell ref="F38:G38"/>
    <mergeCell ref="A37:H37"/>
    <mergeCell ref="A1:H1"/>
    <mergeCell ref="A2:C2"/>
    <mergeCell ref="A24:J24"/>
    <mergeCell ref="B25:C25"/>
    <mergeCell ref="D25:E25"/>
    <mergeCell ref="F25:G25"/>
    <mergeCell ref="H25:I25"/>
    <mergeCell ref="A19:G19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CED3402697034095891D123E488757" ma:contentTypeVersion="18" ma:contentTypeDescription="Create a new document." ma:contentTypeScope="" ma:versionID="3db92552fb11b77bb4d348c672513aee">
  <xsd:schema xmlns:xsd="http://www.w3.org/2001/XMLSchema" xmlns:xs="http://www.w3.org/2001/XMLSchema" xmlns:p="http://schemas.microsoft.com/office/2006/metadata/properties" xmlns:ns2="23004460-b9a7-4fbc-bd99-1b9a1b497bab" xmlns:ns3="4de1e744-6c87-4fa8-bfcc-8ad63406cda8" xmlns:ns4="48992e93-457b-4bd4-bce1-442360872a66" targetNamespace="http://schemas.microsoft.com/office/2006/metadata/properties" ma:root="true" ma:fieldsID="5630487f508800680a8f9a1ca6804593" ns2:_="" ns3:_="" ns4:_="">
    <xsd:import namespace="23004460-b9a7-4fbc-bd99-1b9a1b497bab"/>
    <xsd:import namespace="4de1e744-6c87-4fa8-bfcc-8ad63406cda8"/>
    <xsd:import namespace="48992e93-457b-4bd4-bce1-442360872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04460-b9a7-4fbc-bd99-1b9a1b497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424e969-8dec-4b03-9c39-966ac10c5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1e744-6c87-4fa8-bfcc-8ad63406cda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dec0fe9-9158-490e-abad-c68ad2029994}" ma:internalName="TaxCatchAll" ma:showField="CatchAllData" ma:web="48992e93-457b-4bd4-bce1-442360872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992e93-457b-4bd4-bce1-442360872a66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004460-b9a7-4fbc-bd99-1b9a1b497bab">
      <Terms xmlns="http://schemas.microsoft.com/office/infopath/2007/PartnerControls"/>
    </lcf76f155ced4ddcb4097134ff3c332f>
    <TaxCatchAll xmlns="4de1e744-6c87-4fa8-bfcc-8ad63406cda8" xsi:nil="true"/>
  </documentManagement>
</p:properties>
</file>

<file path=customXml/itemProps1.xml><?xml version="1.0" encoding="utf-8"?>
<ds:datastoreItem xmlns:ds="http://schemas.openxmlformats.org/officeDocument/2006/customXml" ds:itemID="{BF1709BE-AC94-4183-9F11-873B97F27F36}"/>
</file>

<file path=customXml/itemProps2.xml><?xml version="1.0" encoding="utf-8"?>
<ds:datastoreItem xmlns:ds="http://schemas.openxmlformats.org/officeDocument/2006/customXml" ds:itemID="{DEB5C493-A816-4AA7-9621-0DF236A7B982}"/>
</file>

<file path=customXml/itemProps3.xml><?xml version="1.0" encoding="utf-8"?>
<ds:datastoreItem xmlns:ds="http://schemas.openxmlformats.org/officeDocument/2006/customXml" ds:itemID="{2D0B7D48-488E-4A18-9CC4-35DC17B22989}"/>
</file>

<file path=docMetadata/LabelInfo.xml><?xml version="1.0" encoding="utf-8"?>
<clbl:labelList xmlns:clbl="http://schemas.microsoft.com/office/2020/mipLabelMetadata">
  <clbl:label id="{8f12f317-2734-454e-8e5c-3941f8946c51}" enabled="0" method="" siteId="{8f12f317-2734-454e-8e5c-3941f8946c5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Inlet coolers (5)</vt:lpstr>
      <vt:lpstr>FG coolers (3)</vt:lpstr>
      <vt:lpstr>Refrig coolers (2)</vt:lpstr>
      <vt:lpstr>Constants and 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Balaji, Vishal</dc:creator>
  <cp:lastModifiedBy>Balaji, Vishal</cp:lastModifiedBy>
  <dcterms:created xsi:type="dcterms:W3CDTF">2025-06-17T21:19:51Z</dcterms:created>
  <dcterms:modified xsi:type="dcterms:W3CDTF">2025-07-11T23:52:52Z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0x010100B4CED3402697034095891D123E488757</vt:lpwstr>
  </property>
</Properties>
</file>