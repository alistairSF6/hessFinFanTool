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sscorp-my.sharepoint.com/personal/vishal_balaji_hess_com/Documents/hess project/proj 2/"/>
    </mc:Choice>
  </mc:AlternateContent>
  <xr:revisionPtr revIDLastSave="1237" documentId="8_{94334CC9-7EF2-4C66-BF7D-B10D652D9A56}" xr6:coauthVersionLast="47" xr6:coauthVersionMax="47" xr10:uidLastSave="{4ADE0208-E658-46B8-A8F9-4D525681C1B1}"/>
  <bookViews>
    <workbookView xWindow="28680" yWindow="-120" windowWidth="29040" windowHeight="17640" xr2:uid="{686DCF1B-707D-4CC6-A34C-5312097CCA61}"/>
  </bookViews>
  <sheets>
    <sheet name="Coolers (4)" sheetId="1" r:id="rId1"/>
    <sheet name="Constants and Propert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D21" i="2"/>
  <c r="C21" i="2"/>
  <c r="B21" i="2"/>
  <c r="D4" i="2" l="1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E4" i="2" l="1"/>
  <c r="H4" i="2"/>
  <c r="B21" i="1" l="1"/>
  <c r="C21" i="1" s="1"/>
  <c r="B22" i="1"/>
  <c r="C22" i="1" s="1"/>
  <c r="B23" i="1"/>
  <c r="C23" i="1" s="1"/>
  <c r="B24" i="1"/>
  <c r="C24" i="1" s="1"/>
  <c r="D22" i="1"/>
  <c r="E22" i="1" s="1"/>
  <c r="D21" i="1"/>
  <c r="E21" i="1" s="1"/>
  <c r="D24" i="1"/>
  <c r="E24" i="1" s="1"/>
  <c r="F21" i="1"/>
  <c r="G21" i="1" s="1"/>
  <c r="H21" i="1"/>
  <c r="I21" i="1" s="1"/>
  <c r="D23" i="1"/>
  <c r="E23" i="1" s="1"/>
  <c r="F24" i="1"/>
  <c r="G24" i="1" s="1"/>
  <c r="H22" i="1"/>
  <c r="I22" i="1" s="1"/>
  <c r="H23" i="1"/>
  <c r="I23" i="1" s="1"/>
  <c r="F22" i="1"/>
  <c r="G22" i="1" s="1"/>
  <c r="H24" i="1"/>
  <c r="I24" i="1" s="1"/>
  <c r="F23" i="1"/>
  <c r="G23" i="1" s="1"/>
</calcChain>
</file>

<file path=xl/sharedStrings.xml><?xml version="1.0" encoding="utf-8"?>
<sst xmlns="http://schemas.openxmlformats.org/spreadsheetml/2006/main" count="122" uniqueCount="54">
  <si>
    <t>Cooler #</t>
  </si>
  <si>
    <t>IC-1</t>
  </si>
  <si>
    <t>IC-2</t>
  </si>
  <si>
    <t>IC-3</t>
  </si>
  <si>
    <t>AC</t>
  </si>
  <si>
    <t>T_in</t>
  </si>
  <si>
    <t>T_out</t>
  </si>
  <si>
    <t>Cooler type</t>
  </si>
  <si>
    <t>Nitrogen</t>
  </si>
  <si>
    <t>mole %</t>
  </si>
  <si>
    <t>Cp at ~200 deg F</t>
  </si>
  <si>
    <t>xi*Cp,i</t>
  </si>
  <si>
    <t>Cp,mix [BTU/lb/°F]</t>
  </si>
  <si>
    <t>Molar mass (lb/lb-mol)</t>
  </si>
  <si>
    <t>MM, mix (lb/lb-mol)</t>
  </si>
  <si>
    <t>xi*MM,i</t>
  </si>
  <si>
    <t>Duty</t>
  </si>
  <si>
    <t>Efficiency %</t>
  </si>
  <si>
    <t>AC/IC-4</t>
  </si>
  <si>
    <t>Temperatures (°F)</t>
  </si>
  <si>
    <t>Flows (MMCFD)</t>
  </si>
  <si>
    <t>Inlet Gas Today</t>
  </si>
  <si>
    <t>Total Flow Today</t>
  </si>
  <si>
    <t>Component</t>
  </si>
  <si>
    <t>Methane</t>
  </si>
  <si>
    <t>Carbon Dioxde</t>
  </si>
  <si>
    <t>Ethane</t>
  </si>
  <si>
    <t>Propane</t>
  </si>
  <si>
    <t>n-Hexane</t>
  </si>
  <si>
    <t>i-Butane</t>
  </si>
  <si>
    <t>n-Butane</t>
  </si>
  <si>
    <t>i-Pentane</t>
  </si>
  <si>
    <t>n-Pentane</t>
  </si>
  <si>
    <t>n-Heptane</t>
  </si>
  <si>
    <t>n-Octane</t>
  </si>
  <si>
    <t>n-Nonane</t>
  </si>
  <si>
    <t>n-Decane</t>
  </si>
  <si>
    <t>Gas Properties to Cooler</t>
  </si>
  <si>
    <t>Actual Duty (1000 BTU/hr)</t>
  </si>
  <si>
    <t>T Setpoint (°F) &amp; Louver Position (%)</t>
  </si>
  <si>
    <t>T Setpoint</t>
  </si>
  <si>
    <t>Louver</t>
  </si>
  <si>
    <t>Actual T</t>
  </si>
  <si>
    <t>Date of Assess</t>
  </si>
  <si>
    <t>FIT</t>
  </si>
  <si>
    <t>-</t>
  </si>
  <si>
    <t xml:space="preserve"> |</t>
  </si>
  <si>
    <t xml:space="preserve"> V</t>
  </si>
  <si>
    <t>Constants, Properties, Ratings, Pi Tags</t>
  </si>
  <si>
    <t>BWCS Cooler Efficiency Calculator</t>
  </si>
  <si>
    <t>Relevant Pi Tags</t>
  </si>
  <si>
    <t>Rated Duty (1000 BTU/hr)</t>
  </si>
  <si>
    <t>UNKNOWN - REQUIRES GAS SAMPLE LAB RESULTS</t>
  </si>
  <si>
    <t>156EF-R-112-26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</si>
</sst>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35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1654B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5" fillId="2" borderId="0" xfId="0" applyFont="1" applyFill="1"/>
    <xf numFmtId="0" fontId="3" fillId="0" borderId="3" xfId="0" applyFont="1" applyBorder="1"/>
    <xf numFmtId="0" fontId="3" fillId="0" borderId="1" xfId="0" applyFont="1" applyBorder="1"/>
    <xf numFmtId="0" fontId="3" fillId="0" borderId="9" xfId="0" applyFont="1" applyBorder="1"/>
    <xf numFmtId="0" fontId="3" fillId="0" borderId="7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5" xfId="0" applyFont="1" applyBorder="1"/>
    <xf numFmtId="0" fontId="2" fillId="0" borderId="3" xfId="0" applyFont="1" applyBorder="1"/>
    <xf numFmtId="0" fontId="3" fillId="0" borderId="13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8" xfId="0" applyFont="1" applyBorder="1"/>
    <xf numFmtId="0" fontId="3" fillId="0" borderId="12" xfId="0" applyFont="1" applyBorder="1"/>
    <xf numFmtId="0" fontId="3" fillId="0" borderId="14" xfId="0" applyFont="1" applyBorder="1"/>
    <xf numFmtId="0" fontId="3" fillId="0" borderId="10" xfId="0" applyFont="1" applyBorder="1"/>
    <xf numFmtId="0" fontId="2" fillId="0" borderId="11" xfId="0" applyFont="1" applyBorder="1"/>
    <xf numFmtId="0" fontId="3" fillId="5" borderId="0" xfId="0" applyFont="1" applyFill="1"/>
    <xf numFmtId="0" fontId="4" fillId="0" borderId="0" xfId="0" applyFont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10" xfId="0" applyFont="1" applyFill="1" applyBorder="1"/>
    <xf numFmtId="0" fontId="5" fillId="2" borderId="12" xfId="0" applyFont="1" applyFill="1" applyBorder="1"/>
    <xf numFmtId="0" fontId="5" fillId="2" borderId="6" xfId="0" applyFont="1" applyFill="1" applyBorder="1"/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4" fillId="4" borderId="13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14" fontId="6" fillId="2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3" fillId="0" borderId="0" xfId="0" applyFont="1" applyFill="1"/>
    <xf numFmtId="0" fontId="3" fillId="0" borderId="4" xfId="0" applyFont="1" applyFill="1" applyBorder="1"/>
    <xf numFmtId="0" fontId="3" fillId="0" borderId="8" xfId="0" applyFont="1" applyFill="1" applyBorder="1"/>
    <xf numFmtId="0" fontId="2" fillId="0" borderId="0" xfId="0" applyFont="1" applyBorder="1"/>
    <xf numFmtId="0" fontId="3" fillId="0" borderId="0" xfId="0" applyFont="1" applyFill="1" applyBorder="1"/>
    <xf numFmtId="0" fontId="3" fillId="0" borderId="0" xfId="0" applyFont="1" applyBorder="1"/>
    <xf numFmtId="0" fontId="3" fillId="0" borderId="0" xfId="0" applyFont="1" applyFill="1" applyBorder="1" applyAlignment="1"/>
    <xf numFmtId="0" fontId="3" fillId="0" borderId="0" xfId="0" applyFont="1" applyFill="1" applyAlignment="1">
      <alignment horizontal="center"/>
    </xf>
    <xf numFmtId="0" fontId="3" fillId="0" borderId="1" xfId="0" applyFont="1" applyFill="1" applyBorder="1"/>
    <xf numFmtId="0" fontId="3" fillId="0" borderId="2" xfId="0" applyFont="1" applyFill="1" applyBorder="1"/>
    <xf numFmtId="0" fontId="3" fillId="0" borderId="6" xfId="0" applyFont="1" applyFill="1" applyBorder="1"/>
    <xf numFmtId="0" fontId="3" fillId="0" borderId="5" xfId="0" applyFont="1" applyFill="1" applyBorder="1"/>
    <xf numFmtId="0" fontId="2" fillId="0" borderId="0" xfId="0" applyFont="1" applyFill="1"/>
    <xf numFmtId="0" fontId="5" fillId="0" borderId="0" xfId="0" applyFont="1" applyFill="1" applyBorder="1"/>
    <xf numFmtId="0" fontId="2" fillId="0" borderId="0" xfId="0" applyFont="1" applyFill="1" applyBorder="1"/>
    <xf numFmtId="0" fontId="4" fillId="0" borderId="0" xfId="0" applyFont="1" applyFill="1" applyBorder="1" applyAlignment="1"/>
    <xf numFmtId="0" fontId="1" fillId="0" borderId="0" xfId="0" applyFont="1" applyFill="1" applyBorder="1" applyAlignment="1"/>
    <xf numFmtId="0" fontId="4" fillId="0" borderId="1" xfId="0" applyFont="1" applyFill="1" applyBorder="1" applyAlignment="1"/>
    <xf numFmtId="0" fontId="0" fillId="0" borderId="0" xfId="0" applyBorder="1"/>
    <xf numFmtId="9" fontId="3" fillId="0" borderId="0" xfId="0" applyNumberFormat="1" applyFont="1" applyFill="1"/>
    <xf numFmtId="0" fontId="3" fillId="0" borderId="3" xfId="0" applyFont="1" applyFill="1" applyBorder="1"/>
    <xf numFmtId="9" fontId="3" fillId="0" borderId="3" xfId="0" applyNumberFormat="1" applyFont="1" applyFill="1" applyBorder="1"/>
    <xf numFmtId="10" fontId="3" fillId="0" borderId="0" xfId="0" applyNumberFormat="1" applyFont="1" applyFill="1"/>
    <xf numFmtId="10" fontId="3" fillId="0" borderId="8" xfId="0" applyNumberFormat="1" applyFont="1" applyFill="1" applyBorder="1"/>
    <xf numFmtId="0" fontId="3" fillId="0" borderId="12" xfId="0" applyFont="1" applyFill="1" applyBorder="1"/>
    <xf numFmtId="0" fontId="4" fillId="0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 applyAlignment="1">
      <alignment horizontal="center"/>
    </xf>
    <xf numFmtId="0" fontId="4" fillId="0" borderId="0" xfId="0" applyFont="1" applyFill="1"/>
    <xf numFmtId="0" fontId="7" fillId="3" borderId="8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0" xfId="0" applyFont="1" applyFill="1" applyAlignment="1"/>
    <xf numFmtId="9" fontId="3" fillId="0" borderId="8" xfId="0" applyNumberFormat="1" applyFont="1" applyFill="1" applyBorder="1"/>
    <xf numFmtId="10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4EA72E"/>
      <color rgb="FF1E922C"/>
      <color rgb="FF51654B"/>
      <color rgb="FF466A54"/>
      <color rgb="FF515F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926940</xdr:colOff>
      <xdr:row>4</xdr:row>
      <xdr:rowOff>65399</xdr:rowOff>
    </xdr:from>
    <xdr:ext cx="2080839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5558E8-A7CF-4B01-BE53-98F265E80990}"/>
                </a:ext>
              </a:extLst>
            </xdr:cNvPr>
            <xdr:cNvSpPr txBox="1"/>
          </xdr:nvSpPr>
          <xdr:spPr>
            <a:xfrm>
              <a:off x="7839071" y="1127202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𝐶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𝑝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,</m:t>
                        </m:r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𝑚𝑖𝑥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𝐶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𝑝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,</m:t>
                            </m:r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C25558E8-A7CF-4B01-BE53-98F265E80990}"/>
                </a:ext>
              </a:extLst>
            </xdr:cNvPr>
            <xdr:cNvSpPr txBox="1"/>
          </xdr:nvSpPr>
          <xdr:spPr>
            <a:xfrm>
              <a:off x="7839071" y="1127202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𝐶_(𝑝,𝑚𝑖𝑥)=∑_𝑖▒〖𝑥_𝑖 𝐶_(𝑝,𝑖) 〗</a:t>
              </a:r>
              <a:endParaRPr lang="en-US" sz="1800"/>
            </a:p>
          </xdr:txBody>
        </xdr:sp>
      </mc:Fallback>
    </mc:AlternateContent>
    <xdr:clientData/>
  </xdr:oneCellAnchor>
  <xdr:oneCellAnchor>
    <xdr:from>
      <xdr:col>7</xdr:col>
      <xdr:colOff>891963</xdr:colOff>
      <xdr:row>7</xdr:row>
      <xdr:rowOff>155340</xdr:rowOff>
    </xdr:from>
    <xdr:ext cx="2080839" cy="6707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05D99A-B4DB-4E57-A891-DF8C733556BD}"/>
                </a:ext>
              </a:extLst>
            </xdr:cNvPr>
            <xdr:cNvSpPr txBox="1"/>
          </xdr:nvSpPr>
          <xdr:spPr>
            <a:xfrm>
              <a:off x="7804094" y="1841733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bPr>
                      <m:e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𝑀𝑀</m:t>
                        </m:r>
                      </m:e>
                      <m:sub>
                        <m: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𝑚𝑖𝑥</m:t>
                        </m:r>
                      </m:sub>
                    </m:sSub>
                    <m:r>
                      <a:rPr lang="en-US" sz="18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naryPr>
                      <m:sub>
                        <m:r>
                          <m:rPr>
                            <m:brk m:alnAt="7"/>
                          </m:rPr>
                          <a:rPr lang="en-US" sz="18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𝑖</m:t>
                        </m:r>
                      </m:sub>
                      <m:sup/>
                      <m:e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𝑥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  <m:sSub>
                          <m:sSubPr>
                            <m:ctrlP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𝑀𝑀</m:t>
                            </m:r>
                          </m:e>
                          <m:sub>
                            <m:r>
                              <a:rPr lang="en-US" sz="18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𝑖</m:t>
                            </m:r>
                          </m:sub>
                        </m:sSub>
                      </m:e>
                    </m:nary>
                  </m:oMath>
                </m:oMathPara>
              </a14:m>
              <a:endParaRPr lang="en-US" sz="18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905D99A-B4DB-4E57-A891-DF8C733556BD}"/>
                </a:ext>
              </a:extLst>
            </xdr:cNvPr>
            <xdr:cNvSpPr txBox="1"/>
          </xdr:nvSpPr>
          <xdr:spPr>
            <a:xfrm>
              <a:off x="7804094" y="1841733"/>
              <a:ext cx="2080839" cy="6707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8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〖𝑀𝑀〗_𝑚𝑖𝑥=∑_𝑖▒〖𝑥_𝑖 〖𝑀𝑀〗_𝑖 〗</a:t>
              </a:r>
              <a:endParaRPr lang="en-US" sz="1800"/>
            </a:p>
          </xdr:txBody>
        </xdr:sp>
      </mc:Fallback>
    </mc:AlternateContent>
    <xdr:clientData/>
  </xdr:oneCellAnchor>
  <xdr:twoCellAnchor editAs="oneCell">
    <xdr:from>
      <xdr:col>11</xdr:col>
      <xdr:colOff>31750</xdr:colOff>
      <xdr:row>11</xdr:row>
      <xdr:rowOff>190500</xdr:rowOff>
    </xdr:from>
    <xdr:to>
      <xdr:col>24</xdr:col>
      <xdr:colOff>465690</xdr:colOff>
      <xdr:row>46</xdr:row>
      <xdr:rowOff>186095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709992-A888-AB8C-91CC-727D4C25C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57750" y="3746500"/>
          <a:ext cx="8276190" cy="983809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141E9-A2E6-43B8-8EA8-6B3FAEE4479E}">
  <dimension ref="A1:AA42"/>
  <sheetViews>
    <sheetView tabSelected="1" zoomScale="81" zoomScaleNormal="55" workbookViewId="0">
      <selection sqref="A1:I1"/>
    </sheetView>
  </sheetViews>
  <sheetFormatPr defaultColWidth="9.140625" defaultRowHeight="15.75" x14ac:dyDescent="0.25"/>
  <cols>
    <col min="1" max="1" width="33.140625" style="1" customWidth="1"/>
    <col min="2" max="2" width="22.140625" style="1" bestFit="1" customWidth="1"/>
    <col min="3" max="3" width="21.42578125" style="1" bestFit="1" customWidth="1"/>
    <col min="4" max="4" width="12.7109375" style="1" customWidth="1"/>
    <col min="5" max="5" width="18.5703125" style="1" customWidth="1"/>
    <col min="6" max="6" width="15.5703125" style="1" customWidth="1"/>
    <col min="7" max="7" width="16.85546875" style="1" customWidth="1"/>
    <col min="8" max="8" width="13.140625" style="1" customWidth="1"/>
    <col min="9" max="9" width="18.42578125" style="1" customWidth="1"/>
    <col min="10" max="10" width="16.85546875" style="1" bestFit="1" customWidth="1"/>
    <col min="11" max="11" width="16.140625" style="1" customWidth="1"/>
    <col min="12" max="12" width="17.5703125" style="1" customWidth="1"/>
    <col min="13" max="13" width="19.140625" style="1" customWidth="1"/>
    <col min="14" max="14" width="14" style="1" customWidth="1"/>
    <col min="15" max="15" width="13.85546875" style="1" customWidth="1"/>
    <col min="16" max="16" width="19.7109375" style="1" customWidth="1"/>
    <col min="17" max="17" width="12.85546875" style="1" customWidth="1"/>
    <col min="18" max="21" width="9.140625" style="1"/>
    <col min="22" max="22" width="9.28515625" style="1" bestFit="1" customWidth="1"/>
    <col min="23" max="25" width="10.140625" style="1" bestFit="1" customWidth="1"/>
    <col min="26" max="16384" width="9.140625" style="1"/>
  </cols>
  <sheetData>
    <row r="1" spans="1:27" customFormat="1" ht="47.45" customHeight="1" thickBot="1" x14ac:dyDescent="0.75">
      <c r="A1" s="43" t="s">
        <v>49</v>
      </c>
      <c r="B1" s="43"/>
      <c r="C1" s="43"/>
      <c r="D1" s="43"/>
      <c r="E1" s="43"/>
      <c r="F1" s="43"/>
      <c r="G1" s="43"/>
      <c r="H1" s="43"/>
      <c r="I1" s="44"/>
      <c r="J1" s="65"/>
      <c r="K1" s="65"/>
      <c r="L1" s="65"/>
      <c r="M1" s="65"/>
    </row>
    <row r="2" spans="1:27" customFormat="1" ht="33" thickTop="1" thickBot="1" x14ac:dyDescent="0.55000000000000004">
      <c r="A2" s="33" t="s">
        <v>19</v>
      </c>
      <c r="B2" s="34"/>
      <c r="C2" s="34"/>
      <c r="D2" s="34"/>
      <c r="E2" s="34"/>
      <c r="F2" s="34"/>
      <c r="G2" s="34"/>
      <c r="H2" s="34"/>
      <c r="I2" s="35"/>
      <c r="J2" s="66"/>
      <c r="K2" s="33" t="s">
        <v>43</v>
      </c>
      <c r="L2" s="34"/>
      <c r="M2" s="35"/>
      <c r="N2" s="54"/>
      <c r="O2" s="52"/>
      <c r="P2" s="1"/>
      <c r="Q2" s="1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customFormat="1" ht="22.5" thickTop="1" thickBot="1" x14ac:dyDescent="0.4">
      <c r="A3" s="13" t="s">
        <v>0</v>
      </c>
      <c r="B3" s="40" t="s">
        <v>1</v>
      </c>
      <c r="C3" s="41"/>
      <c r="D3" s="40" t="s">
        <v>2</v>
      </c>
      <c r="E3" s="41"/>
      <c r="F3" s="40" t="s">
        <v>3</v>
      </c>
      <c r="G3" s="42"/>
      <c r="H3" s="42" t="s">
        <v>18</v>
      </c>
      <c r="I3" s="41"/>
      <c r="J3" s="55"/>
      <c r="K3" s="36"/>
      <c r="L3" s="37"/>
      <c r="M3" s="37"/>
      <c r="N3" s="6"/>
      <c r="O3" s="1"/>
      <c r="P3" s="1"/>
      <c r="Q3" s="52"/>
      <c r="R3" s="67"/>
    </row>
    <row r="4" spans="1:27" customFormat="1" ht="22.5" thickTop="1" thickBot="1" x14ac:dyDescent="0.4">
      <c r="A4" s="20"/>
      <c r="B4" s="13" t="s">
        <v>5</v>
      </c>
      <c r="C4" s="19" t="s">
        <v>6</v>
      </c>
      <c r="D4" s="10" t="s">
        <v>5</v>
      </c>
      <c r="E4" s="14" t="s">
        <v>6</v>
      </c>
      <c r="F4" s="13" t="s">
        <v>5</v>
      </c>
      <c r="G4" s="19" t="s">
        <v>6</v>
      </c>
      <c r="H4" s="13" t="s">
        <v>5</v>
      </c>
      <c r="I4" s="19" t="s">
        <v>6</v>
      </c>
      <c r="J4" s="55"/>
      <c r="K4" s="38"/>
      <c r="L4" s="39"/>
      <c r="M4" s="39"/>
      <c r="N4" s="6"/>
      <c r="O4" s="1"/>
      <c r="P4" s="1"/>
      <c r="Q4" s="1"/>
      <c r="R4" s="67"/>
      <c r="S4" s="67"/>
    </row>
    <row r="5" spans="1:27" ht="21.75" thickTop="1" x14ac:dyDescent="0.35">
      <c r="A5" s="8">
        <v>1</v>
      </c>
      <c r="B5" s="6"/>
      <c r="C5" s="5"/>
      <c r="D5" s="10"/>
      <c r="E5" s="14"/>
      <c r="F5" s="3"/>
      <c r="G5" s="14"/>
      <c r="H5" s="3"/>
      <c r="I5" s="14"/>
      <c r="J5" s="55"/>
      <c r="K5" s="55"/>
      <c r="L5" s="55"/>
      <c r="M5" s="55"/>
      <c r="N5" s="54"/>
      <c r="R5" s="52"/>
      <c r="S5" s="52"/>
    </row>
    <row r="6" spans="1:27" ht="21" x14ac:dyDescent="0.35">
      <c r="A6" s="8">
        <v>2</v>
      </c>
      <c r="B6" s="3"/>
      <c r="C6" s="3"/>
      <c r="D6" s="6"/>
      <c r="E6" s="15"/>
      <c r="F6" s="3"/>
      <c r="G6" s="15"/>
      <c r="H6" s="3"/>
      <c r="I6" s="15"/>
      <c r="J6" s="55"/>
      <c r="K6" s="55"/>
      <c r="L6" s="55"/>
      <c r="M6" s="55"/>
      <c r="N6" s="54"/>
    </row>
    <row r="7" spans="1:27" ht="21" x14ac:dyDescent="0.35">
      <c r="A7" s="8">
        <v>3</v>
      </c>
      <c r="B7" s="3"/>
      <c r="C7" s="3"/>
      <c r="D7" s="6"/>
      <c r="E7" s="15"/>
      <c r="F7" s="3"/>
      <c r="G7" s="15"/>
      <c r="H7" s="3"/>
      <c r="I7" s="15"/>
      <c r="J7" s="55"/>
      <c r="K7" s="55"/>
      <c r="L7" s="55"/>
      <c r="M7" s="55"/>
      <c r="N7" s="54"/>
    </row>
    <row r="8" spans="1:27" ht="21.75" thickBot="1" x14ac:dyDescent="0.4">
      <c r="A8" s="7">
        <v>4</v>
      </c>
      <c r="B8" s="16"/>
      <c r="C8" s="16"/>
      <c r="D8" s="11"/>
      <c r="E8" s="17"/>
      <c r="F8" s="11"/>
      <c r="G8" s="17"/>
      <c r="H8" s="11"/>
      <c r="I8" s="17"/>
      <c r="J8" s="55"/>
      <c r="K8" s="55"/>
      <c r="L8" s="55"/>
      <c r="M8" s="55"/>
      <c r="N8" s="54"/>
    </row>
    <row r="9" spans="1:27" ht="22.5" thickTop="1" thickBot="1" x14ac:dyDescent="0.4">
      <c r="A9" s="5"/>
      <c r="B9" s="5"/>
      <c r="C9" s="5"/>
      <c r="D9" s="5"/>
      <c r="E9" s="5"/>
      <c r="F9" s="5"/>
      <c r="G9" s="5"/>
      <c r="H9" s="5"/>
      <c r="I9" s="5"/>
      <c r="J9" s="53"/>
      <c r="K9" s="53"/>
      <c r="L9" s="53"/>
      <c r="M9" s="53"/>
      <c r="N9" s="54"/>
    </row>
    <row r="10" spans="1:27" ht="33" thickTop="1" thickBot="1" x14ac:dyDescent="0.55000000000000004">
      <c r="A10" s="33" t="s">
        <v>20</v>
      </c>
      <c r="B10" s="34"/>
      <c r="C10" s="35"/>
      <c r="D10" s="3"/>
      <c r="E10" s="33" t="s">
        <v>39</v>
      </c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5"/>
    </row>
    <row r="11" spans="1:27" ht="22.5" thickTop="1" thickBot="1" x14ac:dyDescent="0.4">
      <c r="A11" s="13" t="s">
        <v>0</v>
      </c>
      <c r="B11" s="10" t="s">
        <v>21</v>
      </c>
      <c r="C11" s="19" t="s">
        <v>22</v>
      </c>
      <c r="D11" s="8"/>
      <c r="E11" s="13" t="s">
        <v>0</v>
      </c>
      <c r="F11" s="40" t="s">
        <v>1</v>
      </c>
      <c r="G11" s="42"/>
      <c r="H11" s="41"/>
      <c r="I11" s="40" t="s">
        <v>2</v>
      </c>
      <c r="J11" s="42"/>
      <c r="K11" s="41"/>
      <c r="L11" s="31" t="s">
        <v>3</v>
      </c>
      <c r="M11" s="30"/>
      <c r="N11" s="28"/>
      <c r="O11" s="40" t="s">
        <v>18</v>
      </c>
      <c r="P11" s="42"/>
      <c r="Q11" s="41"/>
    </row>
    <row r="12" spans="1:27" ht="22.5" thickTop="1" thickBot="1" x14ac:dyDescent="0.4">
      <c r="A12" s="9">
        <v>1</v>
      </c>
      <c r="B12" s="10"/>
      <c r="C12" s="14" t="s">
        <v>45</v>
      </c>
      <c r="D12" s="3"/>
      <c r="E12" s="20"/>
      <c r="F12" s="13" t="s">
        <v>40</v>
      </c>
      <c r="G12" s="18" t="s">
        <v>41</v>
      </c>
      <c r="H12" s="19" t="s">
        <v>42</v>
      </c>
      <c r="I12" s="13" t="s">
        <v>40</v>
      </c>
      <c r="J12" s="18" t="s">
        <v>41</v>
      </c>
      <c r="K12" s="19" t="s">
        <v>42</v>
      </c>
      <c r="L12" s="13" t="s">
        <v>40</v>
      </c>
      <c r="M12" s="18" t="s">
        <v>41</v>
      </c>
      <c r="N12" s="19" t="s">
        <v>42</v>
      </c>
      <c r="O12" s="13" t="s">
        <v>40</v>
      </c>
      <c r="P12" s="18" t="s">
        <v>41</v>
      </c>
      <c r="Q12" s="19" t="s">
        <v>42</v>
      </c>
    </row>
    <row r="13" spans="1:27" ht="21.75" thickTop="1" x14ac:dyDescent="0.35">
      <c r="A13" s="8">
        <v>2</v>
      </c>
      <c r="B13" s="6"/>
      <c r="C13" s="15" t="s">
        <v>45</v>
      </c>
      <c r="D13" s="3"/>
      <c r="E13" s="8">
        <v>1</v>
      </c>
      <c r="F13" s="57"/>
      <c r="G13" s="68"/>
      <c r="H13" s="69"/>
      <c r="I13" s="58"/>
      <c r="J13" s="70"/>
      <c r="K13" s="59"/>
      <c r="L13" s="49"/>
      <c r="M13" s="68"/>
      <c r="N13" s="59"/>
      <c r="O13" s="49"/>
      <c r="P13" s="71"/>
      <c r="Q13" s="59"/>
    </row>
    <row r="14" spans="1:27" ht="21" x14ac:dyDescent="0.35">
      <c r="A14" s="8">
        <v>3</v>
      </c>
      <c r="B14" s="6"/>
      <c r="C14" s="15" t="s">
        <v>45</v>
      </c>
      <c r="D14" s="3"/>
      <c r="E14" s="8">
        <v>2</v>
      </c>
      <c r="F14" s="49"/>
      <c r="G14" s="68"/>
      <c r="H14" s="49"/>
      <c r="I14" s="57"/>
      <c r="J14" s="68"/>
      <c r="K14" s="50"/>
      <c r="L14" s="49"/>
      <c r="M14" s="68"/>
      <c r="N14" s="50"/>
      <c r="O14" s="49"/>
      <c r="P14" s="68"/>
      <c r="Q14" s="50"/>
      <c r="R14" s="61"/>
      <c r="S14" s="61"/>
    </row>
    <row r="15" spans="1:27" ht="21.75" thickBot="1" x14ac:dyDescent="0.4">
      <c r="A15" s="8">
        <v>4</v>
      </c>
      <c r="B15" s="11"/>
      <c r="C15" s="15" t="s">
        <v>45</v>
      </c>
      <c r="D15" s="3"/>
      <c r="E15" s="8">
        <v>3</v>
      </c>
      <c r="F15" s="49"/>
      <c r="G15" s="68"/>
      <c r="H15" s="49"/>
      <c r="I15" s="57"/>
      <c r="J15" s="68"/>
      <c r="K15" s="50"/>
      <c r="L15" s="49"/>
      <c r="M15" s="68"/>
      <c r="N15" s="50"/>
      <c r="O15" s="49"/>
      <c r="P15" s="71"/>
      <c r="Q15" s="50"/>
      <c r="R15" s="61"/>
      <c r="S15" s="61"/>
    </row>
    <row r="16" spans="1:27" ht="22.5" thickTop="1" thickBot="1" x14ac:dyDescent="0.4">
      <c r="A16" s="5"/>
      <c r="B16" s="5"/>
      <c r="C16" s="5"/>
      <c r="D16" s="15"/>
      <c r="E16" s="7">
        <v>4</v>
      </c>
      <c r="F16" s="60"/>
      <c r="G16" s="82"/>
      <c r="H16" s="51"/>
      <c r="I16" s="60"/>
      <c r="J16" s="82"/>
      <c r="K16" s="73"/>
      <c r="L16" s="51"/>
      <c r="M16" s="82"/>
      <c r="N16" s="73"/>
      <c r="O16" s="51"/>
      <c r="P16" s="72"/>
      <c r="Q16" s="73"/>
      <c r="R16" s="61"/>
      <c r="S16" s="61"/>
    </row>
    <row r="17" spans="1:19" ht="17.25" thickTop="1" thickBot="1" x14ac:dyDescent="0.3">
      <c r="I17" s="12"/>
      <c r="O17" s="12"/>
      <c r="P17" s="12"/>
      <c r="R17" s="61"/>
      <c r="S17" s="61"/>
    </row>
    <row r="18" spans="1:19" ht="33" thickTop="1" thickBot="1" x14ac:dyDescent="0.55000000000000004">
      <c r="A18" s="45" t="s">
        <v>38</v>
      </c>
      <c r="B18" s="46"/>
      <c r="C18" s="46"/>
      <c r="D18" s="46"/>
      <c r="E18" s="46"/>
      <c r="F18" s="46"/>
      <c r="G18" s="46"/>
      <c r="H18" s="46"/>
      <c r="I18" s="47"/>
      <c r="J18" s="83"/>
      <c r="K18" s="53"/>
      <c r="L18" s="53"/>
      <c r="M18" s="83"/>
      <c r="N18" s="53"/>
      <c r="O18" s="53"/>
      <c r="P18" s="83"/>
      <c r="Q18" s="53"/>
      <c r="R18" s="63"/>
      <c r="S18" s="61"/>
    </row>
    <row r="19" spans="1:19" ht="22.5" thickTop="1" thickBot="1" x14ac:dyDescent="0.4">
      <c r="A19" s="8" t="s">
        <v>0</v>
      </c>
      <c r="B19" s="40" t="s">
        <v>1</v>
      </c>
      <c r="C19" s="41"/>
      <c r="D19" s="31" t="s">
        <v>2</v>
      </c>
      <c r="E19" s="32"/>
      <c r="F19" s="31" t="s">
        <v>3</v>
      </c>
      <c r="G19" s="32"/>
      <c r="H19" s="31" t="s">
        <v>18</v>
      </c>
      <c r="I19" s="32"/>
      <c r="J19" s="63"/>
      <c r="K19" s="63"/>
      <c r="L19" s="61"/>
      <c r="M19" s="61"/>
      <c r="N19" s="53"/>
      <c r="O19" s="63"/>
      <c r="P19" s="61"/>
      <c r="Q19" s="63"/>
      <c r="R19" s="63"/>
      <c r="S19" s="61"/>
    </row>
    <row r="20" spans="1:19" ht="33" thickTop="1" thickBot="1" x14ac:dyDescent="0.55000000000000004">
      <c r="A20" s="9"/>
      <c r="B20" s="6" t="s">
        <v>16</v>
      </c>
      <c r="C20" s="4" t="s">
        <v>17</v>
      </c>
      <c r="D20" s="13" t="s">
        <v>16</v>
      </c>
      <c r="E20" s="25" t="s">
        <v>17</v>
      </c>
      <c r="F20" s="11" t="s">
        <v>16</v>
      </c>
      <c r="G20" s="26" t="s">
        <v>17</v>
      </c>
      <c r="H20" s="13" t="s">
        <v>16</v>
      </c>
      <c r="I20" s="25" t="s">
        <v>17</v>
      </c>
      <c r="J20" s="64"/>
      <c r="K20" s="64"/>
      <c r="L20" s="64"/>
      <c r="M20" s="64"/>
      <c r="N20" s="54"/>
    </row>
    <row r="21" spans="1:19" ht="21.75" thickTop="1" x14ac:dyDescent="0.35">
      <c r="A21" s="8">
        <v>1</v>
      </c>
      <c r="B21" s="10" t="e">
        <f>'Constants and Properties'!$H$4/397.3*AVERAGE($B$12:$C$12)*1/24*1000000*'Constants and Properties'!$E$4*(B5-C5)/1000</f>
        <v>#VALUE!</v>
      </c>
      <c r="C21" s="23" t="e">
        <f>B21/'Constants and Properties'!$B$21*100</f>
        <v>#VALUE!</v>
      </c>
      <c r="D21" s="10" t="e">
        <f>'Constants and Properties'!$H$4/397.3*AVERAGE($B$12:$C$12)*1/24*1000000*'Constants and Properties'!$E$4*(D5-E5)/1000</f>
        <v>#VALUE!</v>
      </c>
      <c r="E21" s="4" t="e">
        <f>D21/'Constants and Properties'!$C$21*100</f>
        <v>#VALUE!</v>
      </c>
      <c r="F21" s="10" t="e">
        <f>'Constants and Properties'!$H$4/397.3*AVERAGE($B$12:$C$12)*1/24*1000000*'Constants and Properties'!$E$4*(F5-G5)/1000</f>
        <v>#VALUE!</v>
      </c>
      <c r="G21" s="27" t="e">
        <f>F21/'Constants and Properties'!$D$21*100</f>
        <v>#VALUE!</v>
      </c>
      <c r="H21" s="6" t="e">
        <f>'Constants and Properties'!$H$4/397.3*AVERAGE($B$12:$C$12)*1/24*1000000*'Constants and Properties'!$E$4*(H5-I5)/1000</f>
        <v>#VALUE!</v>
      </c>
      <c r="I21" s="27" t="e">
        <f>H21/'Constants and Properties'!$E$21*100</f>
        <v>#VALUE!</v>
      </c>
      <c r="J21" s="55"/>
      <c r="K21" s="55"/>
      <c r="L21" s="55"/>
      <c r="M21" s="55"/>
      <c r="N21" s="53"/>
    </row>
    <row r="22" spans="1:19" ht="21" x14ac:dyDescent="0.35">
      <c r="A22" s="8">
        <v>2</v>
      </c>
      <c r="B22" s="6" t="e">
        <f>'Constants and Properties'!$H$4/397.3*AVERAGE($B$13:$C$13)*1/24*1000000*'Constants and Properties'!$E$4*(B6-C6)/1000</f>
        <v>#VALUE!</v>
      </c>
      <c r="C22" s="4" t="e">
        <f>B22/'Constants and Properties'!$B$21*100</f>
        <v>#VALUE!</v>
      </c>
      <c r="D22" s="6" t="e">
        <f>'Constants and Properties'!$H$4/397.3*AVERAGE($B$13:$C$13)*1/24*1000000*'Constants and Properties'!$E$4*(D6-E6)/1000</f>
        <v>#VALUE!</v>
      </c>
      <c r="E22" s="4" t="e">
        <f>D22/'Constants and Properties'!$C$21*100</f>
        <v>#VALUE!</v>
      </c>
      <c r="F22" s="6" t="e">
        <f>'Constants and Properties'!$H$4/397.3*AVERAGE($B$13:$C$13)*1/24*1000000*'Constants and Properties'!$E$4*(F6-G6)/1000</f>
        <v>#VALUE!</v>
      </c>
      <c r="G22" s="24" t="e">
        <f>F22/'Constants and Properties'!$D$21*100</f>
        <v>#VALUE!</v>
      </c>
      <c r="H22" s="3" t="e">
        <f>'Constants and Properties'!$H$4/397.3*AVERAGE($B$13:$C$13)*1/24*1000000*'Constants and Properties'!$E$4*(H6-I6)/1000</f>
        <v>#VALUE!</v>
      </c>
      <c r="I22" s="24" t="e">
        <f>H22/'Constants and Properties'!$E$21*100</f>
        <v>#VALUE!</v>
      </c>
      <c r="J22" s="53"/>
      <c r="K22" s="62"/>
      <c r="L22" s="53"/>
      <c r="M22" s="62"/>
      <c r="N22" s="53"/>
      <c r="O22" s="52"/>
      <c r="P22" s="52"/>
    </row>
    <row r="23" spans="1:19" ht="21" x14ac:dyDescent="0.35">
      <c r="A23" s="8">
        <v>3</v>
      </c>
      <c r="B23" s="6" t="e">
        <f>'Constants and Properties'!$H$4/397.3*AVERAGE($B$14:$C$14)*1/24*1000000*'Constants and Properties'!$E$4*(B7-C7)/1000</f>
        <v>#VALUE!</v>
      </c>
      <c r="C23" s="24" t="e">
        <f>B23/'Constants and Properties'!$B$21*100</f>
        <v>#VALUE!</v>
      </c>
      <c r="D23" s="3" t="e">
        <f>'Constants and Properties'!$H$4/397.3*AVERAGE($B$14:$C$14)*1/24*1000000*'Constants and Properties'!$E$4*(D7-E7)/1000</f>
        <v>#VALUE!</v>
      </c>
      <c r="E23" s="24" t="e">
        <f>D23/'Constants and Properties'!$C$21*100</f>
        <v>#VALUE!</v>
      </c>
      <c r="F23" s="3" t="e">
        <f>'Constants and Properties'!$H$4/397.3*AVERAGE($B$14:$C$14)*1/24*1000000*'Constants and Properties'!$E$4*(F7-G7)/1000</f>
        <v>#VALUE!</v>
      </c>
      <c r="G23" s="24" t="e">
        <f>F23/'Constants and Properties'!$D$21*100</f>
        <v>#VALUE!</v>
      </c>
      <c r="H23" s="3" t="e">
        <f>'Constants and Properties'!$H$4/397.3*AVERAGE($B$14:$C$14)*1/24*1000000*'Constants and Properties'!$E$4*(H7-I7)/1000</f>
        <v>#VALUE!</v>
      </c>
      <c r="I23" s="24" t="e">
        <f>H23/'Constants and Properties'!$E$21*100</f>
        <v>#VALUE!</v>
      </c>
      <c r="J23" s="53"/>
      <c r="K23" s="53"/>
      <c r="L23" s="53"/>
      <c r="M23" s="62"/>
      <c r="N23" s="53"/>
      <c r="O23" s="52"/>
      <c r="P23" s="52"/>
    </row>
    <row r="24" spans="1:19" ht="21.75" thickBot="1" x14ac:dyDescent="0.4">
      <c r="A24" s="7">
        <v>4</v>
      </c>
      <c r="B24" s="6" t="e">
        <f>'Constants and Properties'!$H$4/397.3*AVERAGE($B$15:$C$15)*1/24*1000000*'Constants and Properties'!$E$4*(B8-C8)/1000</f>
        <v>#VALUE!</v>
      </c>
      <c r="C24" s="4" t="e">
        <f>B24/'Constants and Properties'!$B$22*100</f>
        <v>#VALUE!</v>
      </c>
      <c r="D24" s="11" t="e">
        <f>'Constants and Properties'!$H$4/397.3*AVERAGE($B$15:$C$15)*1/24*1000000*'Constants and Properties'!$E$4*(D8-E8)/1000</f>
        <v>#VALUE!</v>
      </c>
      <c r="E24" s="26" t="e">
        <f>D24/'Constants and Properties'!$C$22*100</f>
        <v>#VALUE!</v>
      </c>
      <c r="F24" s="11" t="e">
        <f>'Constants and Properties'!$H$4/397.3*AVERAGE($B$15:$C$15)*1/24*1000000*'Constants and Properties'!$E$4*(F8-G8)/1000</f>
        <v>#VALUE!</v>
      </c>
      <c r="G24" s="24" t="e">
        <f>F24/'Constants and Properties'!$D$22*100</f>
        <v>#VALUE!</v>
      </c>
      <c r="H24" s="11" t="e">
        <f>'Constants and Properties'!$H$4/397.3*AVERAGE($B$15:$C$15)*1/24*1000000*'Constants and Properties'!$E$4*(H8-I8)/1000</f>
        <v>#VALUE!</v>
      </c>
      <c r="I24" s="24" t="e">
        <f>H24/'Constants and Properties'!$E$22*100</f>
        <v>#VALUE!</v>
      </c>
      <c r="J24" s="53"/>
      <c r="K24" s="62"/>
      <c r="L24" s="53"/>
      <c r="M24" s="62"/>
      <c r="N24" s="53"/>
      <c r="O24" s="52"/>
      <c r="P24" s="52"/>
    </row>
    <row r="25" spans="1:19" ht="21.75" thickTop="1" x14ac:dyDescent="0.35">
      <c r="B25" s="12"/>
      <c r="C25" s="12"/>
      <c r="G25" s="12"/>
      <c r="I25" s="12"/>
      <c r="J25" s="53"/>
      <c r="K25" s="62"/>
      <c r="L25" s="53"/>
      <c r="M25" s="62"/>
      <c r="N25" s="53"/>
      <c r="O25" s="52"/>
      <c r="P25" s="52"/>
      <c r="Q25" s="3"/>
    </row>
    <row r="26" spans="1:19" ht="21" x14ac:dyDescent="0.35">
      <c r="F26" s="52"/>
      <c r="G26" s="52"/>
      <c r="H26" s="52"/>
      <c r="I26" s="52"/>
      <c r="J26" s="53"/>
      <c r="K26" s="62"/>
      <c r="L26" s="53"/>
      <c r="M26" s="62"/>
      <c r="N26" s="53"/>
      <c r="O26" s="52"/>
      <c r="P26" s="52"/>
    </row>
    <row r="27" spans="1:19" ht="21" x14ac:dyDescent="0.35">
      <c r="A27" s="54"/>
      <c r="B27" s="53"/>
      <c r="C27" s="62"/>
      <c r="D27" s="53"/>
      <c r="E27" s="62"/>
      <c r="F27" s="53"/>
      <c r="G27" s="62"/>
      <c r="H27" s="53"/>
      <c r="I27" s="62"/>
      <c r="J27" s="53"/>
      <c r="K27" s="62"/>
      <c r="L27" s="53"/>
      <c r="M27" s="62"/>
      <c r="N27" s="53"/>
      <c r="O27" s="52"/>
      <c r="P27" s="52"/>
    </row>
    <row r="28" spans="1:19" ht="21" x14ac:dyDescent="0.35">
      <c r="A28" s="3"/>
      <c r="B28" s="53"/>
      <c r="C28" s="49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2"/>
      <c r="P28" s="52"/>
    </row>
    <row r="29" spans="1:19" ht="21" x14ac:dyDescent="0.35">
      <c r="A29" s="3"/>
      <c r="B29" s="49"/>
      <c r="C29" s="49"/>
      <c r="D29" s="49"/>
      <c r="E29" s="49"/>
      <c r="F29" s="49"/>
      <c r="G29" s="49"/>
      <c r="H29" s="49"/>
      <c r="I29" s="49"/>
      <c r="J29" s="53"/>
      <c r="K29" s="53"/>
      <c r="L29" s="53"/>
      <c r="M29" s="53"/>
      <c r="N29" s="53"/>
      <c r="O29" s="52"/>
      <c r="P29" s="52"/>
    </row>
    <row r="30" spans="1:19" x14ac:dyDescent="0.25">
      <c r="J30" s="63"/>
      <c r="K30" s="63"/>
      <c r="L30" s="63"/>
      <c r="M30" s="63"/>
      <c r="N30" s="63"/>
      <c r="O30" s="52"/>
      <c r="P30" s="52"/>
    </row>
    <row r="31" spans="1:19" x14ac:dyDescent="0.25">
      <c r="J31" s="63"/>
      <c r="K31" s="63"/>
      <c r="L31" s="63"/>
      <c r="M31" s="63"/>
      <c r="N31" s="63"/>
      <c r="O31" s="52"/>
      <c r="P31" s="52"/>
    </row>
    <row r="32" spans="1:19" x14ac:dyDescent="0.25">
      <c r="J32" s="63"/>
      <c r="K32" s="63"/>
      <c r="L32" s="63"/>
      <c r="M32" s="63"/>
      <c r="N32" s="63"/>
      <c r="O32" s="52"/>
      <c r="P32" s="52"/>
    </row>
    <row r="33" spans="10:25" x14ac:dyDescent="0.25">
      <c r="J33" s="61"/>
      <c r="K33" s="61"/>
      <c r="L33" s="61"/>
      <c r="M33" s="61"/>
      <c r="N33" s="61"/>
      <c r="W33" s="2"/>
      <c r="X33" s="2"/>
      <c r="Y33" s="2"/>
    </row>
    <row r="34" spans="10:25" x14ac:dyDescent="0.25">
      <c r="W34" s="2"/>
      <c r="X34" s="2"/>
      <c r="Y34" s="2"/>
    </row>
    <row r="35" spans="10:25" x14ac:dyDescent="0.25">
      <c r="W35" s="2"/>
      <c r="X35" s="2"/>
      <c r="Y35" s="2"/>
    </row>
    <row r="36" spans="10:25" x14ac:dyDescent="0.25">
      <c r="W36" s="2"/>
      <c r="X36" s="2"/>
      <c r="Y36" s="2"/>
    </row>
    <row r="37" spans="10:25" x14ac:dyDescent="0.25">
      <c r="W37" s="2"/>
      <c r="X37" s="2"/>
      <c r="Y37" s="2"/>
    </row>
    <row r="38" spans="10:25" x14ac:dyDescent="0.25">
      <c r="W38" s="2"/>
      <c r="X38" s="2"/>
      <c r="Y38" s="2"/>
    </row>
    <row r="39" spans="10:25" x14ac:dyDescent="0.25">
      <c r="W39" s="2"/>
      <c r="X39" s="2"/>
      <c r="Y39" s="2"/>
    </row>
    <row r="41" spans="10:25" x14ac:dyDescent="0.25">
      <c r="W41" s="2"/>
      <c r="X41" s="2"/>
      <c r="Y41" s="2"/>
    </row>
    <row r="42" spans="10:25" x14ac:dyDescent="0.25">
      <c r="W42" s="2"/>
      <c r="X42" s="2"/>
    </row>
  </sheetData>
  <mergeCells count="15">
    <mergeCell ref="A18:I18"/>
    <mergeCell ref="B19:C19"/>
    <mergeCell ref="O11:Q11"/>
    <mergeCell ref="H3:I3"/>
    <mergeCell ref="B3:C3"/>
    <mergeCell ref="D3:E3"/>
    <mergeCell ref="F3:G3"/>
    <mergeCell ref="A2:I2"/>
    <mergeCell ref="A1:I1"/>
    <mergeCell ref="A10:C10"/>
    <mergeCell ref="E10:Q10"/>
    <mergeCell ref="F11:H11"/>
    <mergeCell ref="K2:M2"/>
    <mergeCell ref="K3:M4"/>
    <mergeCell ref="I11:K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312A-0798-4127-83F6-864ACC03596E}">
  <dimension ref="A1:J66"/>
  <sheetViews>
    <sheetView zoomScale="60" zoomScaleNormal="85" workbookViewId="0">
      <selection activeCell="A23" sqref="A23:J23"/>
    </sheetView>
  </sheetViews>
  <sheetFormatPr defaultRowHeight="15" x14ac:dyDescent="0.25"/>
  <cols>
    <col min="1" max="1" width="23.140625" bestFit="1" customWidth="1"/>
    <col min="2" max="2" width="55.85546875" customWidth="1"/>
    <col min="3" max="3" width="24.85546875" customWidth="1"/>
    <col min="4" max="4" width="24.42578125" customWidth="1"/>
    <col min="5" max="5" width="24" bestFit="1" customWidth="1"/>
    <col min="6" max="6" width="22.140625" customWidth="1"/>
    <col min="7" max="7" width="15" customWidth="1"/>
    <col min="8" max="8" width="24.5703125" bestFit="1" customWidth="1"/>
    <col min="9" max="9" width="20.85546875" customWidth="1"/>
    <col min="10" max="10" width="18.7109375" customWidth="1"/>
  </cols>
  <sheetData>
    <row r="1" spans="1:9" ht="34.5" customHeight="1" thickBot="1" x14ac:dyDescent="0.3">
      <c r="A1" s="78" t="s">
        <v>48</v>
      </c>
      <c r="B1" s="78"/>
      <c r="C1" s="78"/>
      <c r="D1" s="78"/>
      <c r="E1" s="78"/>
      <c r="F1" s="78"/>
      <c r="G1" s="78"/>
      <c r="H1" s="79"/>
    </row>
    <row r="2" spans="1:9" ht="32.25" thickTop="1" x14ac:dyDescent="0.5">
      <c r="A2" s="46" t="s">
        <v>37</v>
      </c>
      <c r="B2" s="46"/>
      <c r="C2" s="46"/>
    </row>
    <row r="3" spans="1:9" ht="21" x14ac:dyDescent="0.35">
      <c r="A3" s="3" t="s">
        <v>23</v>
      </c>
      <c r="B3" s="3" t="s">
        <v>9</v>
      </c>
      <c r="C3" s="3" t="s">
        <v>10</v>
      </c>
      <c r="D3" s="3" t="s">
        <v>11</v>
      </c>
      <c r="E3" s="21" t="s">
        <v>12</v>
      </c>
      <c r="F3" s="3" t="s">
        <v>13</v>
      </c>
      <c r="G3" s="3" t="s">
        <v>15</v>
      </c>
      <c r="H3" s="21" t="s">
        <v>14</v>
      </c>
      <c r="I3" s="3"/>
    </row>
    <row r="4" spans="1:9" ht="42" x14ac:dyDescent="0.35">
      <c r="A4" s="3" t="s">
        <v>8</v>
      </c>
      <c r="B4" s="80" t="s">
        <v>52</v>
      </c>
      <c r="C4" s="3">
        <v>0.24</v>
      </c>
      <c r="D4" s="3" t="e">
        <f t="shared" ref="D4:D17" si="0">B4*C4</f>
        <v>#VALUE!</v>
      </c>
      <c r="E4" s="21" t="e">
        <f>SUM(D4:D17)</f>
        <v>#VALUE!</v>
      </c>
      <c r="F4" s="3">
        <v>28</v>
      </c>
      <c r="G4" s="3" t="e">
        <f>'Constants and Properties'!B4*F4</f>
        <v>#VALUE!</v>
      </c>
      <c r="H4" s="21" t="e">
        <f>SUM(G4:G17)</f>
        <v>#VALUE!</v>
      </c>
      <c r="I4" s="3"/>
    </row>
    <row r="5" spans="1:9" ht="21" x14ac:dyDescent="0.35">
      <c r="A5" s="3" t="s">
        <v>24</v>
      </c>
      <c r="B5" s="3"/>
      <c r="C5" s="3">
        <v>0.55200000000000005</v>
      </c>
      <c r="D5" s="3">
        <f t="shared" si="0"/>
        <v>0</v>
      </c>
      <c r="E5" s="3"/>
      <c r="F5" s="3">
        <v>16.05</v>
      </c>
      <c r="G5" s="3">
        <f>'Constants and Properties'!B5*F5</f>
        <v>0</v>
      </c>
      <c r="H5" s="3"/>
      <c r="I5" s="3"/>
    </row>
    <row r="6" spans="1:9" ht="21" x14ac:dyDescent="0.35">
      <c r="A6" s="3" t="s">
        <v>25</v>
      </c>
      <c r="B6" s="3"/>
      <c r="C6" s="3">
        <v>0.219</v>
      </c>
      <c r="D6" s="3">
        <f t="shared" si="0"/>
        <v>0</v>
      </c>
      <c r="E6" s="3"/>
      <c r="F6" s="3">
        <v>44</v>
      </c>
      <c r="G6" s="3">
        <f>'Constants and Properties'!B6*F6</f>
        <v>0</v>
      </c>
      <c r="H6" s="3"/>
      <c r="I6" s="3"/>
    </row>
    <row r="7" spans="1:9" ht="21" x14ac:dyDescent="0.35">
      <c r="A7" s="3" t="s">
        <v>26</v>
      </c>
      <c r="B7" s="3"/>
      <c r="C7" s="3">
        <v>0.58399999999999996</v>
      </c>
      <c r="D7" s="3">
        <f t="shared" si="0"/>
        <v>0</v>
      </c>
      <c r="E7" s="3"/>
      <c r="F7" s="3">
        <v>30</v>
      </c>
      <c r="G7" s="3">
        <f>'Constants and Properties'!B7*F7</f>
        <v>0</v>
      </c>
      <c r="H7" s="3"/>
      <c r="I7" s="3"/>
    </row>
    <row r="8" spans="1:9" ht="21" x14ac:dyDescent="0.35">
      <c r="A8" s="3" t="s">
        <v>27</v>
      </c>
      <c r="B8" s="3"/>
      <c r="C8" s="3">
        <v>0.53300000000000003</v>
      </c>
      <c r="D8" s="3">
        <f t="shared" si="0"/>
        <v>0</v>
      </c>
      <c r="E8" s="3"/>
      <c r="F8" s="3">
        <v>44.1</v>
      </c>
      <c r="G8" s="3">
        <f>'Constants and Properties'!B8*F8</f>
        <v>0</v>
      </c>
      <c r="H8" s="3"/>
      <c r="I8" s="3"/>
    </row>
    <row r="9" spans="1:9" ht="21" x14ac:dyDescent="0.35">
      <c r="A9" s="3" t="s">
        <v>29</v>
      </c>
      <c r="B9" s="3"/>
      <c r="C9" s="3">
        <v>0.53500000000000003</v>
      </c>
      <c r="D9" s="3">
        <f t="shared" si="0"/>
        <v>0</v>
      </c>
      <c r="E9" s="3"/>
      <c r="F9" s="3">
        <v>58.124000000000002</v>
      </c>
      <c r="G9" s="3">
        <f>'Constants and Properties'!B9*F9</f>
        <v>0</v>
      </c>
      <c r="H9" s="3"/>
      <c r="I9" s="3"/>
    </row>
    <row r="10" spans="1:9" ht="21" x14ac:dyDescent="0.35">
      <c r="A10" s="3" t="s">
        <v>30</v>
      </c>
      <c r="B10" s="3"/>
      <c r="C10" s="3">
        <v>0.51800000000000002</v>
      </c>
      <c r="D10" s="3">
        <f t="shared" si="0"/>
        <v>0</v>
      </c>
      <c r="E10" s="3"/>
      <c r="F10" s="3">
        <v>58.124000000000002</v>
      </c>
      <c r="G10" s="3">
        <f>'Constants and Properties'!B10*F10</f>
        <v>0</v>
      </c>
      <c r="H10" s="3"/>
      <c r="I10" s="3"/>
    </row>
    <row r="11" spans="1:9" ht="21" x14ac:dyDescent="0.35">
      <c r="A11" s="3" t="s">
        <v>31</v>
      </c>
      <c r="B11" s="3"/>
      <c r="C11" s="3">
        <v>0.56699999999999995</v>
      </c>
      <c r="D11" s="3">
        <f t="shared" si="0"/>
        <v>0</v>
      </c>
      <c r="E11" s="3"/>
      <c r="F11" s="3">
        <v>72.150999999999996</v>
      </c>
      <c r="G11" s="3">
        <f>'Constants and Properties'!B11*F11</f>
        <v>0</v>
      </c>
      <c r="H11" s="3"/>
      <c r="I11" s="3"/>
    </row>
    <row r="12" spans="1:9" ht="21" x14ac:dyDescent="0.35">
      <c r="A12" s="3" t="s">
        <v>32</v>
      </c>
      <c r="B12" s="3"/>
      <c r="C12" s="3">
        <v>0.52200000000000002</v>
      </c>
      <c r="D12" s="3">
        <f t="shared" si="0"/>
        <v>0</v>
      </c>
      <c r="E12" s="3"/>
      <c r="F12" s="3">
        <v>72.150999999999996</v>
      </c>
      <c r="G12" s="3">
        <f>'Constants and Properties'!B12*F12</f>
        <v>0</v>
      </c>
      <c r="H12" s="3"/>
      <c r="I12" s="3"/>
    </row>
    <row r="13" spans="1:9" ht="21" x14ac:dyDescent="0.35">
      <c r="A13" s="3" t="s">
        <v>28</v>
      </c>
      <c r="B13" s="3"/>
      <c r="C13" s="3">
        <v>0.505</v>
      </c>
      <c r="D13" s="3">
        <f t="shared" si="0"/>
        <v>0</v>
      </c>
      <c r="E13" s="3"/>
      <c r="F13" s="3">
        <v>86.18</v>
      </c>
      <c r="G13" s="3">
        <f>'Constants and Properties'!B13*F13</f>
        <v>0</v>
      </c>
      <c r="H13" s="3"/>
      <c r="I13" s="3"/>
    </row>
    <row r="14" spans="1:9" ht="21" x14ac:dyDescent="0.35">
      <c r="A14" s="3" t="s">
        <v>33</v>
      </c>
      <c r="B14" s="3"/>
      <c r="C14" s="3">
        <v>0.497</v>
      </c>
      <c r="D14" s="3">
        <f t="shared" si="0"/>
        <v>0</v>
      </c>
      <c r="E14" s="3"/>
      <c r="F14" s="3">
        <v>100</v>
      </c>
      <c r="G14" s="3">
        <f>'Constants and Properties'!B14*F14</f>
        <v>0</v>
      </c>
      <c r="H14" s="3"/>
      <c r="I14" s="3"/>
    </row>
    <row r="15" spans="1:9" ht="21" x14ac:dyDescent="0.35">
      <c r="A15" s="3" t="s">
        <v>34</v>
      </c>
      <c r="B15" s="3"/>
      <c r="C15" s="3">
        <v>0.49199999999999999</v>
      </c>
      <c r="D15" s="3">
        <f t="shared" si="0"/>
        <v>0</v>
      </c>
      <c r="E15" s="3"/>
      <c r="F15" s="3">
        <v>114.232</v>
      </c>
      <c r="G15" s="3">
        <f>'Constants and Properties'!B15*F15</f>
        <v>0</v>
      </c>
      <c r="H15" s="3"/>
      <c r="I15" s="3"/>
    </row>
    <row r="16" spans="1:9" ht="21" x14ac:dyDescent="0.35">
      <c r="A16" s="3" t="s">
        <v>35</v>
      </c>
      <c r="B16" s="3"/>
      <c r="C16" s="3">
        <v>0.48699999999999999</v>
      </c>
      <c r="D16" s="3">
        <f t="shared" si="0"/>
        <v>0</v>
      </c>
      <c r="E16" s="3"/>
      <c r="F16" s="3">
        <v>128.26</v>
      </c>
      <c r="G16" s="3">
        <f>'Constants and Properties'!B16*F16</f>
        <v>0</v>
      </c>
      <c r="H16" s="3"/>
      <c r="I16" s="3"/>
    </row>
    <row r="17" spans="1:10" ht="21" x14ac:dyDescent="0.35">
      <c r="A17" s="3" t="s">
        <v>36</v>
      </c>
      <c r="B17" s="3"/>
      <c r="C17" s="3">
        <v>0.48299999999999998</v>
      </c>
      <c r="D17" s="3">
        <f t="shared" si="0"/>
        <v>0</v>
      </c>
      <c r="E17" s="3"/>
      <c r="F17" s="3">
        <v>142</v>
      </c>
      <c r="G17" s="3">
        <f>'Constants and Properties'!B17*F17</f>
        <v>0</v>
      </c>
      <c r="H17" s="3"/>
      <c r="I17" s="3"/>
    </row>
    <row r="19" spans="1:10" ht="31.5" x14ac:dyDescent="0.5">
      <c r="A19" s="48" t="s">
        <v>51</v>
      </c>
      <c r="B19" s="48"/>
      <c r="C19" s="48"/>
      <c r="D19" s="48"/>
      <c r="E19" s="48"/>
      <c r="F19" s="48"/>
      <c r="G19" s="48"/>
    </row>
    <row r="20" spans="1:10" ht="21" x14ac:dyDescent="0.35">
      <c r="A20" s="3" t="s">
        <v>7</v>
      </c>
      <c r="B20" s="3" t="s">
        <v>1</v>
      </c>
      <c r="C20" s="3" t="s">
        <v>2</v>
      </c>
      <c r="D20" s="3" t="s">
        <v>3</v>
      </c>
      <c r="E20" s="3" t="s">
        <v>4</v>
      </c>
      <c r="F20" s="3"/>
      <c r="G20" s="3"/>
    </row>
    <row r="21" spans="1:10" ht="21" x14ac:dyDescent="0.35">
      <c r="A21" s="3" t="s">
        <v>53</v>
      </c>
      <c r="B21" s="3">
        <f>1199386/1000</f>
        <v>1199.386</v>
      </c>
      <c r="C21" s="3">
        <f>1604500/1000</f>
        <v>1604.5</v>
      </c>
      <c r="D21" s="3">
        <f>1759500/1000</f>
        <v>1759.5</v>
      </c>
      <c r="E21" s="3">
        <f>2148400/1000</f>
        <v>2148.4</v>
      </c>
      <c r="F21" s="3"/>
      <c r="G21" s="3"/>
    </row>
    <row r="22" spans="1:10" ht="21" x14ac:dyDescent="0.35">
      <c r="A22" s="3"/>
      <c r="B22" s="3"/>
      <c r="C22" s="3"/>
      <c r="D22" s="3"/>
      <c r="E22" s="3"/>
      <c r="F22" s="3"/>
      <c r="G22" s="3"/>
    </row>
    <row r="23" spans="1:10" ht="31.5" x14ac:dyDescent="0.5">
      <c r="A23" s="48" t="s">
        <v>50</v>
      </c>
      <c r="B23" s="48"/>
      <c r="C23" s="48"/>
      <c r="D23" s="48"/>
      <c r="E23" s="48"/>
      <c r="F23" s="48"/>
      <c r="G23" s="48"/>
      <c r="H23" s="48"/>
      <c r="I23" s="48"/>
      <c r="J23" s="48"/>
    </row>
    <row r="24" spans="1:10" ht="21" x14ac:dyDescent="0.35">
      <c r="A24" s="3" t="s">
        <v>0</v>
      </c>
      <c r="B24" s="29" t="s">
        <v>1</v>
      </c>
      <c r="C24" s="29"/>
      <c r="D24" s="29" t="s">
        <v>2</v>
      </c>
      <c r="E24" s="29"/>
      <c r="F24" s="29" t="s">
        <v>3</v>
      </c>
      <c r="G24" s="29"/>
      <c r="H24" s="29" t="s">
        <v>18</v>
      </c>
      <c r="I24" s="29"/>
      <c r="J24" s="3" t="s">
        <v>44</v>
      </c>
    </row>
    <row r="25" spans="1:10" ht="21" x14ac:dyDescent="0.35">
      <c r="A25" s="1"/>
      <c r="B25" s="3" t="s">
        <v>5</v>
      </c>
      <c r="C25" s="3" t="s">
        <v>6</v>
      </c>
      <c r="D25" s="3" t="s">
        <v>5</v>
      </c>
      <c r="E25" s="3" t="s">
        <v>6</v>
      </c>
      <c r="F25" s="3" t="s">
        <v>5</v>
      </c>
      <c r="G25" s="3" t="s">
        <v>6</v>
      </c>
      <c r="H25" s="3" t="s">
        <v>5</v>
      </c>
      <c r="I25" s="3" t="s">
        <v>6</v>
      </c>
      <c r="J25" s="3" t="s">
        <v>45</v>
      </c>
    </row>
    <row r="26" spans="1:10" ht="21" x14ac:dyDescent="0.35">
      <c r="A26" s="3">
        <v>1</v>
      </c>
      <c r="B26" s="3">
        <v>822108</v>
      </c>
      <c r="C26" s="3">
        <v>822112</v>
      </c>
      <c r="D26" s="3">
        <v>822109</v>
      </c>
      <c r="E26" s="3">
        <v>822113</v>
      </c>
      <c r="F26" s="3">
        <v>822110</v>
      </c>
      <c r="G26" s="3">
        <v>822114</v>
      </c>
      <c r="H26" s="3">
        <v>822111</v>
      </c>
      <c r="I26" s="3">
        <v>822115</v>
      </c>
      <c r="J26" s="3">
        <v>822120</v>
      </c>
    </row>
    <row r="27" spans="1:10" ht="21" x14ac:dyDescent="0.35">
      <c r="A27" s="3">
        <v>2</v>
      </c>
      <c r="B27" s="3" t="s">
        <v>46</v>
      </c>
      <c r="C27" s="3" t="s">
        <v>46</v>
      </c>
      <c r="D27" s="3" t="s">
        <v>46</v>
      </c>
      <c r="E27" s="3" t="s">
        <v>46</v>
      </c>
      <c r="F27" s="3" t="s">
        <v>46</v>
      </c>
      <c r="G27" s="3" t="s">
        <v>46</v>
      </c>
      <c r="H27" s="3" t="s">
        <v>46</v>
      </c>
      <c r="I27" s="3" t="s">
        <v>46</v>
      </c>
      <c r="J27" s="3" t="s">
        <v>46</v>
      </c>
    </row>
    <row r="28" spans="1:10" ht="21" x14ac:dyDescent="0.35">
      <c r="A28" s="3">
        <v>3</v>
      </c>
      <c r="B28" s="3" t="s">
        <v>47</v>
      </c>
      <c r="C28" s="3" t="s">
        <v>47</v>
      </c>
      <c r="D28" s="3" t="s">
        <v>47</v>
      </c>
      <c r="E28" s="3" t="s">
        <v>47</v>
      </c>
      <c r="F28" s="3" t="s">
        <v>47</v>
      </c>
      <c r="G28" s="3" t="s">
        <v>47</v>
      </c>
      <c r="H28" s="3" t="s">
        <v>47</v>
      </c>
      <c r="I28" s="3" t="s">
        <v>47</v>
      </c>
      <c r="J28" s="3" t="s">
        <v>47</v>
      </c>
    </row>
    <row r="29" spans="1:10" ht="21" x14ac:dyDescent="0.35">
      <c r="A29" s="3">
        <v>4</v>
      </c>
      <c r="B29" s="3">
        <v>822408</v>
      </c>
      <c r="C29" s="3">
        <v>822412</v>
      </c>
      <c r="D29" s="3">
        <v>822409</v>
      </c>
      <c r="E29" s="3">
        <v>822413</v>
      </c>
      <c r="F29" s="3">
        <v>822410</v>
      </c>
      <c r="G29" s="3">
        <v>822414</v>
      </c>
      <c r="H29" s="3">
        <v>822411</v>
      </c>
      <c r="I29" s="3">
        <v>822415</v>
      </c>
      <c r="J29" s="3">
        <v>822420</v>
      </c>
    </row>
    <row r="30" spans="1:10" ht="2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</row>
    <row r="32" spans="1:10" ht="2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31.5" x14ac:dyDescent="0.5">
      <c r="A33" s="81"/>
      <c r="B33" s="81"/>
      <c r="C33" s="81"/>
      <c r="D33" s="81"/>
      <c r="E33" s="61"/>
      <c r="F33" s="61"/>
      <c r="G33" s="61"/>
      <c r="H33" s="75"/>
    </row>
    <row r="34" spans="1:10" ht="21" x14ac:dyDescent="0.35">
      <c r="A34" s="49"/>
      <c r="B34" s="49"/>
      <c r="C34" s="49"/>
      <c r="D34" s="49"/>
      <c r="E34" s="49"/>
      <c r="F34" s="49"/>
      <c r="G34" s="49"/>
      <c r="H34" s="75"/>
    </row>
    <row r="35" spans="1:10" ht="21" x14ac:dyDescent="0.35">
      <c r="A35" s="49"/>
      <c r="B35" s="49"/>
      <c r="C35" s="49"/>
      <c r="D35" s="49"/>
      <c r="E35" s="49"/>
      <c r="F35" s="49"/>
      <c r="G35" s="49"/>
      <c r="H35" s="75"/>
    </row>
    <row r="36" spans="1:10" ht="21" x14ac:dyDescent="0.35">
      <c r="A36" s="49"/>
      <c r="B36" s="49"/>
      <c r="C36" s="49"/>
      <c r="D36" s="49"/>
      <c r="E36" s="49"/>
      <c r="F36" s="49"/>
      <c r="G36" s="49"/>
      <c r="H36" s="75"/>
    </row>
    <row r="37" spans="1:10" ht="31.5" x14ac:dyDescent="0.5">
      <c r="A37" s="74"/>
      <c r="B37" s="74"/>
      <c r="C37" s="74"/>
      <c r="D37" s="74"/>
      <c r="E37" s="74"/>
      <c r="F37" s="74"/>
      <c r="G37" s="74"/>
      <c r="H37" s="74"/>
      <c r="I37" s="22"/>
      <c r="J37" s="22"/>
    </row>
    <row r="38" spans="1:10" ht="21" x14ac:dyDescent="0.35">
      <c r="A38" s="49"/>
      <c r="B38" s="76"/>
      <c r="C38" s="76"/>
      <c r="D38" s="76"/>
      <c r="E38" s="76"/>
      <c r="F38" s="76"/>
      <c r="G38" s="76"/>
      <c r="H38" s="56"/>
      <c r="I38" s="29"/>
      <c r="J38" s="3"/>
    </row>
    <row r="39" spans="1:10" ht="21" x14ac:dyDescent="0.35">
      <c r="A39" s="61"/>
      <c r="B39" s="49"/>
      <c r="C39" s="49"/>
      <c r="D39" s="49"/>
      <c r="E39" s="49"/>
      <c r="F39" s="49"/>
      <c r="G39" s="49"/>
      <c r="H39" s="49"/>
      <c r="I39" s="3"/>
      <c r="J39" s="3"/>
    </row>
    <row r="40" spans="1:10" ht="21" x14ac:dyDescent="0.35">
      <c r="A40" s="49"/>
      <c r="B40" s="49"/>
      <c r="C40" s="49"/>
      <c r="D40" s="49"/>
      <c r="E40" s="49"/>
      <c r="F40" s="49"/>
      <c r="G40" s="49"/>
      <c r="H40" s="49"/>
      <c r="I40" s="3"/>
      <c r="J40" s="3"/>
    </row>
    <row r="41" spans="1:10" ht="21" x14ac:dyDescent="0.35">
      <c r="A41" s="49"/>
      <c r="B41" s="49"/>
      <c r="C41" s="49"/>
      <c r="D41" s="49"/>
      <c r="E41" s="49"/>
      <c r="F41" s="49"/>
      <c r="G41" s="49"/>
      <c r="H41" s="49"/>
      <c r="I41" s="3"/>
      <c r="J41" s="3"/>
    </row>
    <row r="42" spans="1:10" ht="21" x14ac:dyDescent="0.35">
      <c r="A42" s="49"/>
      <c r="B42" s="49"/>
      <c r="C42" s="49"/>
      <c r="D42" s="49"/>
      <c r="E42" s="49"/>
      <c r="F42" s="49"/>
      <c r="G42" s="49"/>
      <c r="H42" s="49"/>
      <c r="I42" s="3"/>
      <c r="J42" s="3"/>
    </row>
    <row r="43" spans="1:10" x14ac:dyDescent="0.25">
      <c r="A43" s="75"/>
      <c r="B43" s="75"/>
      <c r="C43" s="75"/>
      <c r="D43" s="75"/>
      <c r="E43" s="75"/>
      <c r="F43" s="75"/>
      <c r="G43" s="75"/>
      <c r="H43" s="75"/>
    </row>
    <row r="44" spans="1:10" ht="31.5" x14ac:dyDescent="0.5">
      <c r="A44" s="74"/>
      <c r="B44" s="74"/>
      <c r="C44" s="74"/>
      <c r="D44" s="61"/>
      <c r="E44" s="61"/>
      <c r="F44" s="61"/>
      <c r="G44" s="61"/>
      <c r="H44" s="75"/>
    </row>
    <row r="45" spans="1:10" ht="21" x14ac:dyDescent="0.35">
      <c r="A45" s="49"/>
      <c r="B45" s="49"/>
      <c r="C45" s="49"/>
      <c r="D45" s="75"/>
      <c r="E45" s="49"/>
      <c r="F45" s="49"/>
      <c r="G45" s="49"/>
      <c r="H45" s="75"/>
    </row>
    <row r="46" spans="1:10" ht="21" x14ac:dyDescent="0.35">
      <c r="A46" s="49"/>
      <c r="B46" s="49"/>
      <c r="C46" s="49"/>
      <c r="D46" s="75"/>
      <c r="E46" s="49"/>
      <c r="F46" s="49"/>
      <c r="G46" s="49"/>
      <c r="H46" s="75"/>
    </row>
    <row r="47" spans="1:10" ht="21" x14ac:dyDescent="0.35">
      <c r="A47" s="49"/>
      <c r="B47" s="49"/>
      <c r="C47" s="49"/>
      <c r="D47" s="49"/>
      <c r="E47" s="49"/>
      <c r="F47" s="49"/>
      <c r="G47" s="49"/>
      <c r="H47" s="75"/>
    </row>
    <row r="48" spans="1:10" ht="31.5" x14ac:dyDescent="0.5">
      <c r="A48" s="74"/>
      <c r="B48" s="74"/>
      <c r="C48" s="74"/>
      <c r="D48" s="74"/>
      <c r="E48" s="74"/>
      <c r="F48" s="77"/>
      <c r="G48" s="77"/>
      <c r="H48" s="77"/>
    </row>
    <row r="49" spans="1:8" ht="21" x14ac:dyDescent="0.35">
      <c r="A49" s="49"/>
      <c r="B49" s="76"/>
      <c r="C49" s="76"/>
      <c r="D49" s="76"/>
      <c r="E49" s="76"/>
      <c r="F49" s="56"/>
      <c r="G49" s="75"/>
      <c r="H49" s="75"/>
    </row>
    <row r="50" spans="1:8" ht="21" x14ac:dyDescent="0.35">
      <c r="A50" s="61"/>
      <c r="B50" s="49"/>
      <c r="C50" s="49"/>
      <c r="D50" s="49"/>
      <c r="E50" s="49"/>
      <c r="F50" s="49"/>
      <c r="G50" s="75"/>
      <c r="H50" s="75"/>
    </row>
    <row r="51" spans="1:8" ht="21" x14ac:dyDescent="0.35">
      <c r="A51" s="49"/>
      <c r="B51" s="49"/>
      <c r="C51" s="49"/>
      <c r="D51" s="49"/>
      <c r="E51" s="49"/>
      <c r="F51" s="49"/>
      <c r="G51" s="75"/>
      <c r="H51" s="75"/>
    </row>
    <row r="52" spans="1:8" ht="21" x14ac:dyDescent="0.35">
      <c r="A52" s="49"/>
      <c r="B52" s="49"/>
      <c r="C52" s="49"/>
      <c r="D52" s="49"/>
      <c r="E52" s="49"/>
      <c r="F52" s="49"/>
      <c r="G52" s="75"/>
      <c r="H52" s="75"/>
    </row>
    <row r="53" spans="1:8" x14ac:dyDescent="0.25">
      <c r="A53" s="75"/>
      <c r="B53" s="75"/>
      <c r="C53" s="75"/>
      <c r="D53" s="75"/>
      <c r="E53" s="75"/>
      <c r="F53" s="75"/>
      <c r="G53" s="75"/>
      <c r="H53" s="75"/>
    </row>
    <row r="54" spans="1:8" x14ac:dyDescent="0.25">
      <c r="A54" s="75"/>
      <c r="B54" s="75"/>
      <c r="C54" s="75"/>
      <c r="D54" s="75"/>
      <c r="E54" s="75"/>
      <c r="F54" s="75"/>
      <c r="G54" s="75"/>
      <c r="H54" s="75"/>
    </row>
    <row r="55" spans="1:8" x14ac:dyDescent="0.25">
      <c r="A55" s="75"/>
      <c r="B55" s="75"/>
      <c r="C55" s="75"/>
      <c r="D55" s="75"/>
      <c r="E55" s="75"/>
      <c r="F55" s="75"/>
      <c r="G55" s="75"/>
      <c r="H55" s="75"/>
    </row>
    <row r="56" spans="1:8" x14ac:dyDescent="0.25">
      <c r="A56" s="75"/>
      <c r="B56" s="75"/>
      <c r="C56" s="75"/>
      <c r="D56" s="75"/>
      <c r="E56" s="75"/>
      <c r="F56" s="75"/>
      <c r="G56" s="75"/>
      <c r="H56" s="75"/>
    </row>
    <row r="57" spans="1:8" x14ac:dyDescent="0.25">
      <c r="A57" s="75"/>
      <c r="B57" s="75"/>
      <c r="C57" s="75"/>
      <c r="D57" s="75"/>
      <c r="E57" s="75"/>
      <c r="F57" s="75"/>
      <c r="G57" s="75"/>
      <c r="H57" s="75"/>
    </row>
    <row r="58" spans="1:8" x14ac:dyDescent="0.25">
      <c r="A58" s="75"/>
      <c r="B58" s="75"/>
      <c r="C58" s="75"/>
      <c r="D58" s="75"/>
      <c r="E58" s="75"/>
      <c r="F58" s="75"/>
      <c r="G58" s="75"/>
      <c r="H58" s="75"/>
    </row>
    <row r="59" spans="1:8" x14ac:dyDescent="0.25">
      <c r="A59" s="75"/>
      <c r="B59" s="75"/>
      <c r="C59" s="75"/>
      <c r="D59" s="75"/>
      <c r="E59" s="75"/>
      <c r="F59" s="75"/>
      <c r="G59" s="75"/>
      <c r="H59" s="75"/>
    </row>
    <row r="60" spans="1:8" x14ac:dyDescent="0.25">
      <c r="A60" s="75"/>
      <c r="B60" s="75"/>
      <c r="C60" s="75"/>
      <c r="D60" s="75"/>
      <c r="E60" s="75"/>
      <c r="F60" s="75"/>
      <c r="G60" s="75"/>
      <c r="H60" s="75"/>
    </row>
    <row r="61" spans="1:8" x14ac:dyDescent="0.25">
      <c r="A61" s="75"/>
      <c r="B61" s="75"/>
      <c r="C61" s="75"/>
      <c r="D61" s="75"/>
      <c r="E61" s="75"/>
      <c r="F61" s="75"/>
      <c r="G61" s="75"/>
      <c r="H61" s="75"/>
    </row>
    <row r="62" spans="1:8" x14ac:dyDescent="0.25">
      <c r="A62" s="75"/>
      <c r="B62" s="75"/>
      <c r="C62" s="75"/>
      <c r="D62" s="75"/>
      <c r="E62" s="75"/>
      <c r="F62" s="75"/>
      <c r="G62" s="75"/>
      <c r="H62" s="75"/>
    </row>
    <row r="63" spans="1:8" x14ac:dyDescent="0.25">
      <c r="A63" s="75"/>
      <c r="B63" s="75"/>
      <c r="C63" s="75"/>
      <c r="D63" s="75"/>
      <c r="E63" s="75"/>
      <c r="F63" s="75"/>
      <c r="G63" s="75"/>
      <c r="H63" s="75"/>
    </row>
    <row r="64" spans="1:8" x14ac:dyDescent="0.25">
      <c r="A64" s="75"/>
      <c r="B64" s="75"/>
      <c r="C64" s="75"/>
      <c r="D64" s="75"/>
      <c r="E64" s="75"/>
      <c r="F64" s="75"/>
      <c r="G64" s="75"/>
      <c r="H64" s="75"/>
    </row>
    <row r="65" spans="1:8" x14ac:dyDescent="0.25">
      <c r="A65" s="75"/>
      <c r="B65" s="75"/>
      <c r="C65" s="75"/>
      <c r="D65" s="75"/>
      <c r="E65" s="75"/>
      <c r="F65" s="75"/>
      <c r="G65" s="75"/>
      <c r="H65" s="75"/>
    </row>
    <row r="66" spans="1:8" x14ac:dyDescent="0.25">
      <c r="A66" s="75"/>
      <c r="B66" s="75"/>
      <c r="C66" s="75"/>
      <c r="D66" s="75"/>
      <c r="E66" s="75"/>
      <c r="F66" s="75"/>
      <c r="G66" s="75"/>
      <c r="H66" s="75"/>
    </row>
  </sheetData>
  <mergeCells count="12">
    <mergeCell ref="B49:C49"/>
    <mergeCell ref="D49:E49"/>
    <mergeCell ref="A48:E48"/>
    <mergeCell ref="A1:H1"/>
    <mergeCell ref="A2:C2"/>
    <mergeCell ref="A19:G19"/>
    <mergeCell ref="A23:J23"/>
    <mergeCell ref="B38:C38"/>
    <mergeCell ref="D38:E38"/>
    <mergeCell ref="F38:G38"/>
    <mergeCell ref="A37:H37"/>
    <mergeCell ref="A44:C44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5E4C453F-3998-45FD-B5A9-5A090A0B0D31}"/>
</file>

<file path=customXml/itemProps2.xml><?xml version="1.0" encoding="utf-8"?>
<ds:datastoreItem xmlns:ds="http://schemas.openxmlformats.org/officeDocument/2006/customXml" ds:itemID="{A778C059-281F-4847-B5F1-95969ABBA8D6}"/>
</file>

<file path=customXml/itemProps3.xml><?xml version="1.0" encoding="utf-8"?>
<ds:datastoreItem xmlns:ds="http://schemas.openxmlformats.org/officeDocument/2006/customXml" ds:itemID="{521FF2D1-C876-4886-9C22-C76B57BE7E5E}"/>
</file>

<file path=docMetadata/LabelInfo.xml><?xml version="1.0" encoding="utf-8"?>
<clbl:labelList xmlns:clbl="http://schemas.microsoft.com/office/2020/mipLabelMetadata">
  <clbl:label id="{8f12f317-2734-454e-8e5c-3941f8946c51}" enabled="0" method="" siteId="{8f12f317-2734-454e-8e5c-3941f8946c5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Coolers (4)</vt:lpstr>
      <vt:lpstr>Constants and Properties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Balaji, Vishal</dc:creator>
  <cp:lastModifiedBy>Balaji, Vishal</cp:lastModifiedBy>
  <dcterms:created xsi:type="dcterms:W3CDTF">2025-06-17T21:19:51Z</dcterms:created>
  <dcterms:modified xsi:type="dcterms:W3CDTF">2025-07-03T14:16:15Z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</Properties>
</file>